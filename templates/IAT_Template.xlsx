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AT Invariants" sheetId="2" state="visible" r:id="rId4"/>
    <sheet name="Summary" sheetId="3" state="visible" r:id="rId5"/>
    <sheet name="Test Traceability" sheetId="4" state="visible" r:id="rId6"/>
  </sheets>
  <definedNames>
    <definedName function="false" hidden="false" localSheetId="1" name="_xlnm.Print_Titles" vbProcedure="false">'IAT Invariants'!$1:$1</definedName>
    <definedName function="false" hidden="false" localSheetId="3" name="_xlnm.Print_Titles" vbProcedure="false">'Test Traceability'!$1:$1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<sst xmlns="http://schemas.openxmlformats.org/spreadsheetml/2006/main" count="1103" uniqueCount="675">
  <si>
    <t xml:space="preserve">INVARIANT-ANCHORED TELEMETRY (IAT)</t>
  </si>
  <si>
    <t xml:space="preserve">Platform: [Your Platform]</t>
  </si>
  <si>
    <t xml:space="preserve">For each universal invariant: specify what component emits the recommended telemetry, what detection signal indicates trouble, and what threats that signal catches.</t>
  </si>
  <si>
    <t xml:space="preserve">COLUMN GUIDE</t>
  </si>
  <si>
    <t xml:space="preserve">ID</t>
  </si>
  <si>
    <t xml:space="preserve">Stable identifier across the 50 invariants (G01–T10).</t>
  </si>
  <si>
    <t xml:space="preserve">Domain</t>
  </si>
  <si>
    <t xml:space="preserve">GHOST family this invariant belongs to.</t>
  </si>
  <si>
    <t xml:space="preserve">Global Invariant</t>
  </si>
  <si>
    <t xml:space="preserve">Universal property the platform must preserve. Anchored, not platform-specific.</t>
  </si>
  <si>
    <t xml:space="preserve">Surface</t>
  </si>
  <si>
    <t xml:space="preserve">Universal — which of the six surfaces (User, Interaction, Environment, Value, Content, Operations) this invariant anchors to. Framework-provided.</t>
  </si>
  <si>
    <t xml:space="preserve">Platform Implementation</t>
  </si>
  <si>
    <t xml:space="preserve">Platform-specific — the module, service, or subsystem that hosts this surface on your platform (e.g. game server, chat service). Use '—' when no surface exists yet.</t>
  </si>
  <si>
    <t xml:space="preserve">Recommended Telemetry</t>
  </si>
  <si>
    <t xml:space="preserve">Event name + key fields. The concrete observable artifact that proves or disproves the invariant.</t>
  </si>
  <si>
    <t xml:space="preserve">Detection Signal</t>
  </si>
  <si>
    <t xml:space="preserve">The pattern in the telemetry that indicates trouble. The filter expression, conceptually.</t>
  </si>
  <si>
    <t xml:space="preserve">Threat Examples</t>
  </si>
  <si>
    <t xml:space="preserve">2–4 named threats this telemetry catches. Illustrative, not exhaustive.</t>
  </si>
  <si>
    <t xml:space="preserve">Invariant Status</t>
  </si>
  <si>
    <t xml:space="preserve">Active / Latent / Collapsed / Inactive (N/A). Where this invariant currently sits on the platform.</t>
  </si>
  <si>
    <t xml:space="preserve">Rationale</t>
  </si>
  <si>
    <t xml:space="preserve">One-line justification for the status decision. A reviewer should be able to challenge it from this alone.</t>
  </si>
  <si>
    <t xml:space="preserve">THE SIX SURFACES</t>
  </si>
  <si>
    <t xml:space="preserve">User</t>
  </si>
  <si>
    <t xml:space="preserve">Where an individual actor directly interacts with the platform.</t>
  </si>
  <si>
    <t xml:space="preserve">Interaction</t>
  </si>
  <si>
    <t xml:space="preserve">How actors interact with each other — communication, conflict, collaboration.</t>
  </si>
  <si>
    <t xml:space="preserve">Environment</t>
  </si>
  <si>
    <t xml:space="preserve">The shared, persistent state that all actors operate within.</t>
  </si>
  <si>
    <t xml:space="preserve">Value</t>
  </si>
  <si>
    <t xml:space="preserve">Economy, assets, transactions, entitlements, transferable worth.</t>
  </si>
  <si>
    <t xml:space="preserve">Content</t>
  </si>
  <si>
    <t xml:space="preserve">Everything created, uploaded, or published by users or the system.</t>
  </si>
  <si>
    <t xml:space="preserve">Operations</t>
  </si>
  <si>
    <t xml:space="preserve">Backend services, infrastructure — the technical substrate.</t>
  </si>
  <si>
    <t xml:space="preserve">STATUS TAXONOMY</t>
  </si>
  <si>
    <t xml:space="preserve">Active</t>
  </si>
  <si>
    <t xml:space="preserve">Telemetry exists, queryable, and threat catalog binds to it.</t>
  </si>
  <si>
    <t xml:space="preserve">Latent</t>
  </si>
  <si>
    <t xml:space="preserve">Telemetry specified but not emitted, or emitted but not queryable.</t>
  </si>
  <si>
    <t xml:space="preserve">Collapsed</t>
  </si>
  <si>
    <t xml:space="preserve">Invariant has no independent telemetry — its observability is fully covered by another invariant's signals.</t>
  </si>
  <si>
    <t xml:space="preserve">Inactive (N/A)</t>
  </si>
  <si>
    <t xml:space="preserve">No surface exists, so no telemetry required. Decision is recorded for review.</t>
  </si>
  <si>
    <t xml:space="preserve">G01</t>
  </si>
  <si>
    <t xml:space="preserve">Gameplay</t>
  </si>
  <si>
    <t xml:space="preserve">The server must be the final authority over outcomes</t>
  </si>
  <si>
    <t xml:space="preserve">server_validated_action { player_id, action, server_state_hash, validation_outcome, ts }</t>
  </si>
  <si>
    <t xml:space="preserve">validation_outcome != 'pass' OR client_claim != server_truth</t>
  </si>
  <si>
    <t xml:space="preserve">Outcome spoofing · Win-claim forgery · Score injection</t>
  </si>
  <si>
    <t xml:space="preserve">G02</t>
  </si>
  <si>
    <t xml:space="preserve">Player inputs must not produce super-human performance</t>
  </si>
  <si>
    <t xml:space="preserve">input_rate_sample { player_id, action_type, count_per_window, window_ms }</t>
  </si>
  <si>
    <t xml:space="preserve">count_per_window &gt; human_p99_threshold sustained over N windows</t>
  </si>
  <si>
    <t xml:space="preserve">Input automation · Macro use · Aim-bot / move-bot</t>
  </si>
  <si>
    <t xml:space="preserve">G03</t>
  </si>
  <si>
    <t xml:space="preserve">Game rules must be enforced consistently across players</t>
  </si>
  <si>
    <t xml:space="preserve">rule_evaluation { player_id, rule_id, decision, ts }</t>
  </si>
  <si>
    <t xml:space="preserve">Same rule_id producing divergent decisions for equivalent inputs</t>
  </si>
  <si>
    <t xml:space="preserve">Rule bypass · Privileged-account drift · A/B-config leak</t>
  </si>
  <si>
    <t xml:space="preserve">G04</t>
  </si>
  <si>
    <t xml:space="preserve">Game state must remain synchronized for all participants</t>
  </si>
  <si>
    <t xml:space="preserve">state_sync_event { session_id, server_state_hash, client_state_hash, ts }</t>
  </si>
  <si>
    <t xml:space="preserve">client_state_hash != server_state_hash for any participant</t>
  </si>
  <si>
    <t xml:space="preserve">Desync exploitation · State injection · Phantom moves</t>
  </si>
  <si>
    <t xml:space="preserve">G05</t>
  </si>
  <si>
    <t xml:space="preserve">Timing must not be exploitable for competitive advantage</t>
  </si>
  <si>
    <t xml:space="preserve">action_timing { player_id, action_id, server_ts, client_ts, drift_ms }</t>
  </si>
  <si>
    <t xml:space="preserve">drift_ms outside tolerance OR action burst within race window</t>
  </si>
  <si>
    <t xml:space="preserve">Lag-switching · Race-condition exploit · Time-warp</t>
  </si>
  <si>
    <t xml:space="preserve">G06</t>
  </si>
  <si>
    <t xml:space="preserve">Progression must only advance through legitimate gameplay</t>
  </si>
  <si>
    <t xml:space="preserve">progression_change { player_id, prior_state, new_state, derived_from_action_id }</t>
  </si>
  <si>
    <t xml:space="preserve">new_state without matching validated action_id in lineage</t>
  </si>
  <si>
    <t xml:space="preserve">Save-state injection · Progression skipping · Achievement forgery</t>
  </si>
  <si>
    <t xml:space="preserve">G07</t>
  </si>
  <si>
    <t xml:space="preserve">Randomized mechanics must not be predictable or manipulable</t>
  </si>
  <si>
    <t xml:space="preserve">rng_draw { draw_id, seed_source, output, consumer_action_id }</t>
  </si>
  <si>
    <t xml:space="preserve">seed_source predictable OR output distribution skewed</t>
  </si>
  <si>
    <t xml:space="preserve">RNG seed prediction · Reroll abuse · Drop-rate manipulation</t>
  </si>
  <si>
    <t xml:space="preserve">G08</t>
  </si>
  <si>
    <t xml:space="preserve">Actions must not be replayed to gain additional benefit</t>
  </si>
  <si>
    <t xml:space="preserve">action_submission { action_id, nonce, player_id, session_id, ts }</t>
  </si>
  <si>
    <t xml:space="preserve">Repeated nonce or action_id within active session</t>
  </si>
  <si>
    <t xml:space="preserve">Replay attack · Duplicate-move exploit · Token reuse</t>
  </si>
  <si>
    <t xml:space="preserve">G09</t>
  </si>
  <si>
    <t xml:space="preserve">Client-reported state must never be blindly trusted</t>
  </si>
  <si>
    <t xml:space="preserve">client_claim { player_id, claim_type, claim_value } + server reconciliation outcome</t>
  </si>
  <si>
    <t xml:space="preserve">Server reconciles to a different value OR rejects claim</t>
  </si>
  <si>
    <t xml:space="preserve">Client-side cheating · Memory editing · State forgery</t>
  </si>
  <si>
    <t xml:space="preserve">G10</t>
  </si>
  <si>
    <t xml:space="preserve">Non-production or debug paths must not affect live gameplay</t>
  </si>
  <si>
    <t xml:space="preserve">code_path_invocation { path_id, env_tag, caller, ts }</t>
  </si>
  <si>
    <t xml:space="preserve">env_tag == 'debug' invoked from production session</t>
  </si>
  <si>
    <t xml:space="preserve">Debug-flag abuse · Cheat-menu access · QA tooling exposure</t>
  </si>
  <si>
    <t xml:space="preserve">H01</t>
  </si>
  <si>
    <t xml:space="preserve">Harm &amp; Safety</t>
  </si>
  <si>
    <t xml:space="preserve">Player expression must not cause harm to others</t>
  </si>
  <si>
    <t xml:space="preserve">expression_event { source_player_id, recipient_scope, content_ref, classifier_score, ts }</t>
  </si>
  <si>
    <t xml:space="preserve">classifier_score crosses threshold OR no classifier output emitted</t>
  </si>
  <si>
    <t xml:space="preserve">Targeted harassment · Slur in chat · Coordinated brigading</t>
  </si>
  <si>
    <t xml:space="preserve">H02</t>
  </si>
  <si>
    <t xml:space="preserve">Harmful behavior patterns must be detectable over time</t>
  </si>
  <si>
    <t xml:space="preserve">behavior_score_update { player_id, window, signal_type, score, ts }</t>
  </si>
  <si>
    <t xml:space="preserve">Cumulative score rising or repeated signals within window</t>
  </si>
  <si>
    <t xml:space="preserve">Repeat offender · Slow-burn harassment · Boundary-testing</t>
  </si>
  <si>
    <t xml:space="preserve">H03</t>
  </si>
  <si>
    <t xml:space="preserve">Minors must be protected from manipulation or exploitation</t>
  </si>
  <si>
    <t xml:space="preserve">age_gated_interaction { actor_player_id, target_player_id, target_age_bracket, action, ts }</t>
  </si>
  <si>
    <t xml:space="preserve">Adult actor targeting minor with restricted action type</t>
  </si>
  <si>
    <t xml:space="preserve">Grooming pattern · Age-gap targeting · Unsolicited contact</t>
  </si>
  <si>
    <t xml:space="preserve">H04</t>
  </si>
  <si>
    <t xml:space="preserve">Sexual or graphic content must be appropriately gated</t>
  </si>
  <si>
    <t xml:space="preserve">content_render { content_id, classifier_tag, viewer_age_bracket, gate_decision }</t>
  </si>
  <si>
    <t xml:space="preserve">explicit tag rendered to under-age viewer OR no gate evaluated</t>
  </si>
  <si>
    <t xml:space="preserve">Unfiltered explicit content · Age-gate bypass · Image leakage</t>
  </si>
  <si>
    <t xml:space="preserve">H05</t>
  </si>
  <si>
    <t xml:space="preserve">Threats or intimidation must trigger intervention</t>
  </si>
  <si>
    <t xml:space="preserve">threat_signal { source_player_id, classifier_class, severity, intervention_id }</t>
  </si>
  <si>
    <t xml:space="preserve">severity &gt;= high without intervention_id recorded within SLA</t>
  </si>
  <si>
    <t xml:space="preserve">Direct threat · Doxxing · Coordinated intimidation</t>
  </si>
  <si>
    <t xml:space="preserve">H06</t>
  </si>
  <si>
    <t xml:space="preserve">Harmful identity representations must be controlled</t>
  </si>
  <si>
    <t xml:space="preserve">identity_field_change { player_id, field, old_value, new_value, validator_decision }</t>
  </si>
  <si>
    <t xml:space="preserve">validator_decision == 'flagged' OR validator absent for field type</t>
  </si>
  <si>
    <t xml:space="preserve">Slur in username · Impersonation handle · Hate-symbol avatar</t>
  </si>
  <si>
    <t xml:space="preserve">H07</t>
  </si>
  <si>
    <t xml:space="preserve">Players must be able to report harmful behavior</t>
  </si>
  <si>
    <t xml:space="preserve">report_submitted { reporter_id, subject_id, category, evidence_ref, ts }</t>
  </si>
  <si>
    <t xml:space="preserve">Reporting UI exists, emits to a queue with non-zero processing rate</t>
  </si>
  <si>
    <t xml:space="preserve">Reporting UI absent · Silent drop · No category for harm type</t>
  </si>
  <si>
    <t xml:space="preserve">H08</t>
  </si>
  <si>
    <t xml:space="preserve">Reports must result in observable handling</t>
  </si>
  <si>
    <t xml:space="preserve">report_state_change { report_id, prior_state, new_state, actor, ts }</t>
  </si>
  <si>
    <t xml:space="preserve">Report stuck in queue past SLA OR terminal state never reached</t>
  </si>
  <si>
    <t xml:space="preserve">Report black hole · Untracked closure · Stale queue</t>
  </si>
  <si>
    <t xml:space="preserve">H09</t>
  </si>
  <si>
    <t xml:space="preserve">Safety controls must resist evasion</t>
  </si>
  <si>
    <t xml:space="preserve">control_evaluation { control_id, input_signature, decision, evasion_score }</t>
  </si>
  <si>
    <t xml:space="preserve">Same input bypassing control on retry OR evasion_score climbing</t>
  </si>
  <si>
    <t xml:space="preserve">Filter bypass · Unicode obfuscation · Rate-limit dodging</t>
  </si>
  <si>
    <t xml:space="preserve">H10</t>
  </si>
  <si>
    <t xml:space="preserve">Enforcement actions must be attributable and reviewable</t>
  </si>
  <si>
    <t xml:space="preserve">enforcement_decision { subject_id, action, actor, reason_code, evidence_ref, ts }</t>
  </si>
  <si>
    <t xml:space="preserve">Action without actor, reason, or evidence reference</t>
  </si>
  <si>
    <t xml:space="preserve">Untracked ban · Phantom moderation · Unaccountable action</t>
  </si>
  <si>
    <t xml:space="preserve">O01</t>
  </si>
  <si>
    <t xml:space="preserve">All external inputs must be validated</t>
  </si>
  <si>
    <t xml:space="preserve">input_validation_result { endpoint, validator_id, decision, payload_size, ts }</t>
  </si>
  <si>
    <t xml:space="preserve">decision == 'rejected' rate spike OR validator absent for endpoint</t>
  </si>
  <si>
    <t xml:space="preserve">Malformed payload exploit · Schema-fuzzing · Injection attempt</t>
  </si>
  <si>
    <t xml:space="preserve">O02</t>
  </si>
  <si>
    <t xml:space="preserve">Systems must tolerate malformed or hostile input</t>
  </si>
  <si>
    <t xml:space="preserve">input_parse_outcome { endpoint, parse_result, exception_type?, recovery_action }</t>
  </si>
  <si>
    <t xml:space="preserve">Unhandled exception leading to crash OR cascading parse failures</t>
  </si>
  <si>
    <t xml:space="preserve">Parser crash exploit · Stack-overflow input · Malformed JSON DOS</t>
  </si>
  <si>
    <t xml:space="preserve">O03</t>
  </si>
  <si>
    <t xml:space="preserve">Services must resist traffic floods and request abuse</t>
  </si>
  <si>
    <t xml:space="preserve">rate_limit_event { source_id, endpoint, decision, current_rate, limit }</t>
  </si>
  <si>
    <t xml:space="preserve">decision == 'throttled' OR current_rate near limit sustained</t>
  </si>
  <si>
    <t xml:space="preserve">Volumetric DoS · Slow-loris · Request-spam abuse</t>
  </si>
  <si>
    <t xml:space="preserve">O04</t>
  </si>
  <si>
    <t xml:space="preserve">Failures must be isolated and non-cascading</t>
  </si>
  <si>
    <t xml:space="preserve">circuit_breaker_state { service, state, last_open_ts, downstream_failures }</t>
  </si>
  <si>
    <t xml:space="preserve">Breaker open OR upstream failures correlated across services</t>
  </si>
  <si>
    <t xml:space="preserve">Cascade failure · Thundering herd · Cross-service contagion</t>
  </si>
  <si>
    <t xml:space="preserve">O05</t>
  </si>
  <si>
    <t xml:space="preserve">Resource exhaustion must be detectable</t>
  </si>
  <si>
    <t xml:space="preserve">resource_utilization { resource, current, limit, growth_rate, ts }</t>
  </si>
  <si>
    <t xml:space="preserve">growth_rate &gt; threshold OR current/limit &gt; 0.85 sustained</t>
  </si>
  <si>
    <t xml:space="preserve">Memory leak · FD exhaustion · Connection-pool starvation</t>
  </si>
  <si>
    <t xml:space="preserve">O06</t>
  </si>
  <si>
    <t xml:space="preserve">Unexpected traffic patterns must be observable</t>
  </si>
  <si>
    <t xml:space="preserve">traffic_pattern_sample { endpoint, baseline_qps, observed_qps, anomaly_score }</t>
  </si>
  <si>
    <t xml:space="preserve">anomaly_score above threshold OR observed_qps deviating &gt;3σ</t>
  </si>
  <si>
    <t xml:space="preserve">Stealth scraping · Targeted scan · Coordinated probing</t>
  </si>
  <si>
    <t xml:space="preserve">O07</t>
  </si>
  <si>
    <t xml:space="preserve">Operational limits must be enforced</t>
  </si>
  <si>
    <t xml:space="preserve">limit_enforcement { subject, limit_type, current, limit, decision }</t>
  </si>
  <si>
    <t xml:space="preserve">decision == 'denied' rate climbing OR limit absent for action type</t>
  </si>
  <si>
    <t xml:space="preserve">Quota exhaustion · Unbounded operation · Limit-config drift</t>
  </si>
  <si>
    <t xml:space="preserve">O08</t>
  </si>
  <si>
    <t xml:space="preserve">Failures must produce diagnostic telemetry</t>
  </si>
  <si>
    <t xml:space="preserve">error_event { service, error_class, correlation_id, stack_ref, ts }</t>
  </si>
  <si>
    <t xml:space="preserve">Errors without correlation_id OR generic 'unknown' error_class</t>
  </si>
  <si>
    <t xml:space="preserve">Silent failure · Black-box error · Missing trace</t>
  </si>
  <si>
    <t xml:space="preserve">O09</t>
  </si>
  <si>
    <t xml:space="preserve">Recovery behavior must be visible</t>
  </si>
  <si>
    <t xml:space="preserve">recovery_event { service, trigger, recovery_action, outcome, duration_ms }</t>
  </si>
  <si>
    <t xml:space="preserve">Recovery triggered without outcome emission OR repeated triggers</t>
  </si>
  <si>
    <t xml:space="preserve">Stuck recovery · Recovery loop · Silent fail-over</t>
  </si>
  <si>
    <t xml:space="preserve">O10</t>
  </si>
  <si>
    <t xml:space="preserve">Degraded operation must be detectable</t>
  </si>
  <si>
    <t xml:space="preserve">service_health { service, sli_name, value, threshold, status }</t>
  </si>
  <si>
    <t xml:space="preserve">status == 'degraded' OR value crossing threshold sustained</t>
  </si>
  <si>
    <t xml:space="preserve">Silent degradation · Performance cliff · Latency creep</t>
  </si>
  <si>
    <t xml:space="preserve">S01</t>
  </si>
  <si>
    <t xml:space="preserve">Social Systems</t>
  </si>
  <si>
    <t xml:space="preserve">Player identity must not be impersonable</t>
  </si>
  <si>
    <t xml:space="preserve">identity_create_or_rename { player_id, handle, similarity_to_existing, decision }</t>
  </si>
  <si>
    <t xml:space="preserve">similarity score above threshold OR no guard evaluated</t>
  </si>
  <si>
    <t xml:space="preserve">Look-alike username · Handle squat · Impersonation account</t>
  </si>
  <si>
    <t xml:space="preserve">S02</t>
  </si>
  <si>
    <t xml:space="preserve">Trust and reputation must be difficult to game</t>
  </si>
  <si>
    <t xml:space="preserve">reputation_delta { player_id, delta, source_event, provenance_chain }</t>
  </si>
  <si>
    <t xml:space="preserve">Reputation gain without valid source_event OR self-referential chain</t>
  </si>
  <si>
    <t xml:space="preserve">Rep farming · Fake review · Sockpuppet endorsement</t>
  </si>
  <si>
    <t xml:space="preserve">S03</t>
  </si>
  <si>
    <t xml:space="preserve">Group behavior must not bypass safeguards</t>
  </si>
  <si>
    <t xml:space="preserve">group_action { group_id, member_ids[], action, individual_decisions[] }</t>
  </si>
  <si>
    <t xml:space="preserve">Group decision differs from sum of individual decisions</t>
  </si>
  <si>
    <t xml:space="preserve">Group-bypass exploit · Coordinated whitelisting · Mob escalation</t>
  </si>
  <si>
    <t xml:space="preserve">S04</t>
  </si>
  <si>
    <t xml:space="preserve">Coordination patterns must be observable</t>
  </si>
  <si>
    <t xml:space="preserve">coordination_signal { account_set, signal_type, strength, window }</t>
  </si>
  <si>
    <t xml:space="preserve">Strong correlation across accounts without organic explanation</t>
  </si>
  <si>
    <t xml:space="preserve">Coordinated harassment · Botnet activity · Brigading</t>
  </si>
  <si>
    <t xml:space="preserve">S05</t>
  </si>
  <si>
    <t xml:space="preserve">New identities must not gain instant influence</t>
  </si>
  <si>
    <t xml:space="preserve">privilege_check { player_id, privilege, account_age_days, decision }</t>
  </si>
  <si>
    <t xml:space="preserve">High-influence privilege granted to account_age &lt; threshold</t>
  </si>
  <si>
    <t xml:space="preserve">Throwaway-account abuse · Fast-track impersonation · Sleeper exploit</t>
  </si>
  <si>
    <t xml:space="preserve">S06</t>
  </si>
  <si>
    <t xml:space="preserve">Reputation changes must be attributable</t>
  </si>
  <si>
    <t xml:space="preserve">reputation_event { subject_id, prior, new, source_action_id, actor_id }</t>
  </si>
  <si>
    <t xml:space="preserve">Change without source_action_id OR actor_id mismatched to source</t>
  </si>
  <si>
    <t xml:space="preserve">Phantom rep change · Off-platform manipulation · Untracked endorsement</t>
  </si>
  <si>
    <t xml:space="preserve">S07</t>
  </si>
  <si>
    <t xml:space="preserve">Social hierarchies must resist abuse</t>
  </si>
  <si>
    <t xml:space="preserve">role_action { actor_role, target, action, hierarchy_rule_id, decision }</t>
  </si>
  <si>
    <t xml:space="preserve">Role exceeding hierarchy permissions OR rule_id missing</t>
  </si>
  <si>
    <t xml:space="preserve">Role escalation · Mod abuse · Privilege chaining</t>
  </si>
  <si>
    <t xml:space="preserve">S08</t>
  </si>
  <si>
    <t xml:space="preserve">Harassment patterns must be distinguishable from normal activity</t>
  </si>
  <si>
    <t xml:space="preserve">interaction_pair_signal { source_id, target_id, pattern_class, score, window }</t>
  </si>
  <si>
    <t xml:space="preserve">score &gt; threshold for pattern_class == 'harassment'</t>
  </si>
  <si>
    <t xml:space="preserve">Targeted harassment · Stalking pattern · Pile-on</t>
  </si>
  <si>
    <t xml:space="preserve">S09</t>
  </si>
  <si>
    <t xml:space="preserve">Community actions must be auditable</t>
  </si>
  <si>
    <t xml:space="preserve">community_action_log { actor_id, action, subjects[], context_ref, ts }</t>
  </si>
  <si>
    <t xml:space="preserve">Action without actor or context reference</t>
  </si>
  <si>
    <t xml:space="preserve">Untracked mod action · Phantom community decision · Audit gap</t>
  </si>
  <si>
    <t xml:space="preserve">S10</t>
  </si>
  <si>
    <t xml:space="preserve">Social enforcement must be visible</t>
  </si>
  <si>
    <t xml:space="preserve">enforcement_visible { subject_id, action_class, public_visible, audit_ref }</t>
  </si>
  <si>
    <t xml:space="preserve">Enforcement action with public_visible == false where policy requires visibility</t>
  </si>
  <si>
    <t xml:space="preserve">Shadow ban without audit · Invisible enforcement · Policy drift</t>
  </si>
  <si>
    <t xml:space="preserve">T01</t>
  </si>
  <si>
    <t xml:space="preserve">Trade &amp; Economy</t>
  </si>
  <si>
    <t xml:space="preserve">Value must not be duplicable</t>
  </si>
  <si>
    <t xml:space="preserve">value_transfer { from, to, amount, asset_id, ledger_seq }</t>
  </si>
  <si>
    <t xml:space="preserve">Duplicate ledger_seq OR conservation violated across transfer set</t>
  </si>
  <si>
    <t xml:space="preserve">Item duplication · Currency dupe · Exploit-driven inflation</t>
  </si>
  <si>
    <t xml:space="preserve">T02</t>
  </si>
  <si>
    <t xml:space="preserve">Economic state must have a single source of truth</t>
  </si>
  <si>
    <t xml:space="preserve">balance_snapshot { account, balance, asset_id, ledger_seq, ts }</t>
  </si>
  <si>
    <t xml:space="preserve">Balance divergence across replicas OR replay produces different state</t>
  </si>
  <si>
    <t xml:space="preserve">State desync · Replica drift · Inconsistent balance</t>
  </si>
  <si>
    <t xml:space="preserve">T03</t>
  </si>
  <si>
    <t xml:space="preserve">Transfers must be atomic and consistent</t>
  </si>
  <si>
    <t xml:space="preserve">transfer_outcome { transfer_id, debit_outcome, credit_outcome, atomic_flag }</t>
  </si>
  <si>
    <t xml:space="preserve">debit succeeded but credit failed (or vice versa) without rollback</t>
  </si>
  <si>
    <t xml:space="preserve">Partial transfer · Lost item · Phantom credit</t>
  </si>
  <si>
    <t xml:space="preserve">T04</t>
  </si>
  <si>
    <t xml:space="preserve">Trades must not be replayable</t>
  </si>
  <si>
    <t xml:space="preserve">trade_submission { trade_id, idempotency_token, parties[], outcome }</t>
  </si>
  <si>
    <t xml:space="preserve">Same idempotency_token producing more than one outcome</t>
  </si>
  <si>
    <t xml:space="preserve">Trade replay · Refund-and-claim exploit · Token reuse</t>
  </si>
  <si>
    <t xml:space="preserve">T05</t>
  </si>
  <si>
    <t xml:space="preserve">Economic actions must be attributable</t>
  </si>
  <si>
    <t xml:space="preserve">economic_action_log { actor_id, action, subjects[], provenance_chain }</t>
  </si>
  <si>
    <t xml:space="preserve">Economic action without actor_id or provenance chain</t>
  </si>
  <si>
    <t xml:space="preserve">Anonymous economic move · Untracked enrichment · Provenance gap</t>
  </si>
  <si>
    <t xml:space="preserve">T06</t>
  </si>
  <si>
    <t xml:space="preserve">Market manipulation must be detectable</t>
  </si>
  <si>
    <t xml:space="preserve">market_pattern_signal { instrument, pattern_class, score, actor_set }</t>
  </si>
  <si>
    <t xml:space="preserve">score &gt; threshold for pattern_class in {'wash','spoof','layering'}</t>
  </si>
  <si>
    <t xml:space="preserve">Wash trading · Spoofing · Layering · Pump and dump</t>
  </si>
  <si>
    <t xml:space="preserve">T07</t>
  </si>
  <si>
    <t xml:space="preserve">Collusive behavior must leave observable signals</t>
  </si>
  <si>
    <t xml:space="preserve">match_outcome_correlation { account_pair, outcome_skew, frequency, window }</t>
  </si>
  <si>
    <t xml:space="preserve">outcome_skew biased without organic explanation across N matches</t>
  </si>
  <si>
    <t xml:space="preserve">Match throwing · Win-trading · Boosting collusion</t>
  </si>
  <si>
    <t xml:space="preserve">T08</t>
  </si>
  <si>
    <t xml:space="preserve">High-value operations must be logged</t>
  </si>
  <si>
    <t xml:space="preserve">high_value_action { actor_id, action, value_class, audit_ref, ts }</t>
  </si>
  <si>
    <t xml:space="preserve">value_class == 'high' without audit_ref OR audit channel silent</t>
  </si>
  <si>
    <t xml:space="preserve">Untracked high-value move · Audit gap · Bypassed scrutiny</t>
  </si>
  <si>
    <t xml:space="preserve">T09</t>
  </si>
  <si>
    <t xml:space="preserve">Rollbacks or reversals must be auditable</t>
  </si>
  <si>
    <t xml:space="preserve">reversal_event { reversal_id, original_action_id, reason, actor, ts }</t>
  </si>
  <si>
    <t xml:space="preserve">Reversal without original_action_id reference OR actor null</t>
  </si>
  <si>
    <t xml:space="preserve">Untracked rollback · Silent reversal · Audit-evading restore</t>
  </si>
  <si>
    <t xml:space="preserve">T10</t>
  </si>
  <si>
    <t xml:space="preserve">Economy-wide anomalies must be detectable</t>
  </si>
  <si>
    <t xml:space="preserve">economy_health_sample { metric, value, baseline, anomaly_score, ts }</t>
  </si>
  <si>
    <t xml:space="preserve">anomaly_score above threshold for any economy_health metric</t>
  </si>
  <si>
    <t xml:space="preserve">Hyperinflation · Sudden scarcity · Currency drain · Market shock</t>
  </si>
  <si>
    <t xml:space="preserve">ACTIVATION SUMMARY</t>
  </si>
  <si>
    <t xml:space="preserve">Updates automatically from the IAT Invariants sheet.</t>
  </si>
  <si>
    <t xml:space="preserve">Total</t>
  </si>
  <si>
    <t xml:space="preserve">SURFACE × STATUS</t>
  </si>
  <si>
    <t xml:space="preserve">DOMAIN × STATUS</t>
  </si>
  <si>
    <t xml:space="preserve">TEST OUTCOMES</t>
  </si>
  <si>
    <t xml:space="preserve">Pass</t>
  </si>
  <si>
    <t xml:space="preserve">Fail</t>
  </si>
  <si>
    <t xml:space="preserve">Pending</t>
  </si>
  <si>
    <t xml:space="preserve">N/A</t>
  </si>
  <si>
    <t xml:space="preserve">Inv ID</t>
  </si>
  <si>
    <t xml:space="preserve">Telemetry Event</t>
  </si>
  <si>
    <t xml:space="preserve">Test ID</t>
  </si>
  <si>
    <t xml:space="preserve">Kind</t>
  </si>
  <si>
    <t xml:space="preserve">Test Assertion</t>
  </si>
  <si>
    <t xml:space="preserve">Test Outcome</t>
  </si>
  <si>
    <t xml:space="preserve">Threats Caught</t>
  </si>
  <si>
    <t xml:space="preserve">Notes</t>
  </si>
  <si>
    <t xml:space="preserve">server_validated_action</t>
  </si>
  <si>
    <t xml:space="preserve">T-G01-01</t>
  </si>
  <si>
    <t xml:space="preserve">EXISTENCE</t>
  </si>
  <si>
    <t xml:space="preserve">Event emits on every player action submitted to the server.</t>
  </si>
  <si>
    <t xml:space="preserve">Activation: Active</t>
  </si>
  <si>
    <t xml:space="preserve">T-G01-02</t>
  </si>
  <si>
    <t xml:space="preserve">SCHEMA</t>
  </si>
  <si>
    <t xml:space="preserve">Fields { player_id, action, server_state_hash, validation_outcome, ts } all populated.</t>
  </si>
  <si>
    <t xml:space="preserve">T-G01-03</t>
  </si>
  <si>
    <t xml:space="preserve">FILTER</t>
  </si>
  <si>
    <t xml:space="preserve">Filter validation_outcome != 'pass' OR client_claim != server_truth fires on synthetic bad inputs.</t>
  </si>
  <si>
    <t xml:space="preserve">input_rate_sample</t>
  </si>
  <si>
    <t xml:space="preserve">T-G02-01</t>
  </si>
  <si>
    <t xml:space="preserve">Event emits per action-type per player per window.</t>
  </si>
  <si>
    <t xml:space="preserve">T-G02-02</t>
  </si>
  <si>
    <t xml:space="preserve">Fields { player_id, action_type, count_per_window, window_ms } all populated.</t>
  </si>
  <si>
    <t xml:space="preserve">T-G02-03</t>
  </si>
  <si>
    <t xml:space="preserve">Filter count_per_window &gt; human_p99 fires on macro/bot input traces.</t>
  </si>
  <si>
    <t xml:space="preserve">rule_evaluation</t>
  </si>
  <si>
    <t xml:space="preserve">T-G03-01</t>
  </si>
  <si>
    <t xml:space="preserve">Event emits on every rule check, allowed or denied.</t>
  </si>
  <si>
    <t xml:space="preserve">T-G03-02</t>
  </si>
  <si>
    <t xml:space="preserve">Fields { player_id, rule_id, decision, ts } all populated.</t>
  </si>
  <si>
    <t xml:space="preserve">T-G03-03</t>
  </si>
  <si>
    <t xml:space="preserve">Filter detects divergent decisions for equivalent inputs across players.</t>
  </si>
  <si>
    <t xml:space="preserve">state_sync_event</t>
  </si>
  <si>
    <t xml:space="preserve">T-G04-01</t>
  </si>
  <si>
    <t xml:space="preserve">Event emits per sync tick or after every authoritative state change.</t>
  </si>
  <si>
    <t xml:space="preserve">T-G04-02</t>
  </si>
  <si>
    <t xml:space="preserve">Fields { session_id, server_state_hash, client_state_hash, ts } populated.</t>
  </si>
  <si>
    <t xml:space="preserve">T-G04-03</t>
  </si>
  <si>
    <t xml:space="preserve">Filter client_state_hash != server_state_hash fires on injected divergence.</t>
  </si>
  <si>
    <t xml:space="preserve">action_timing</t>
  </si>
  <si>
    <t xml:space="preserve">T-G05-01</t>
  </si>
  <si>
    <t xml:space="preserve">Event emits with timing context for every server-bound action.</t>
  </si>
  <si>
    <t xml:space="preserve">Activation: Collapsed</t>
  </si>
  <si>
    <t xml:space="preserve">T-G05-02</t>
  </si>
  <si>
    <t xml:space="preserve">Fields { player_id, action_id, server_ts, client_ts, drift_ms } populated.</t>
  </si>
  <si>
    <t xml:space="preserve">T-G05-03</t>
  </si>
  <si>
    <t xml:space="preserve">Filter drift_ms outside tolerance fires; folds into G02 rate logic.</t>
  </si>
  <si>
    <t xml:space="preserve">progression_change</t>
  </si>
  <si>
    <t xml:space="preserve">T-G06-01</t>
  </si>
  <si>
    <t xml:space="preserve">Event emits on every persistent player progression mutation.</t>
  </si>
  <si>
    <t xml:space="preserve">T-G06-02</t>
  </si>
  <si>
    <t xml:space="preserve">Fields { player_id, prior_state, new_state, derived_from_action_id } populated.</t>
  </si>
  <si>
    <t xml:space="preserve">T-G06-03</t>
  </si>
  <si>
    <t xml:space="preserve">Filter detects new_state without matching validated action_id lineage.</t>
  </si>
  <si>
    <t xml:space="preserve">rng_draw</t>
  </si>
  <si>
    <t xml:space="preserve">T-G07-01</t>
  </si>
  <si>
    <t xml:space="preserve">Event emits when an authoritative RNG draw happens.</t>
  </si>
  <si>
    <t xml:space="preserve">Activation: Inactive (N/A)</t>
  </si>
  <si>
    <t xml:space="preserve">T-G07-02</t>
  </si>
  <si>
    <t xml:space="preserve">Fields { draw_id, seed_source, output, consumer_action_id } populated.</t>
  </si>
  <si>
    <t xml:space="preserve">T-G07-03</t>
  </si>
  <si>
    <t xml:space="preserve">Filter detects predictable seed_source or skewed output distribution.</t>
  </si>
  <si>
    <t xml:space="preserve">action_submission</t>
  </si>
  <si>
    <t xml:space="preserve">T-G08-01</t>
  </si>
  <si>
    <t xml:space="preserve">Event emits for every action submitted to the server.</t>
  </si>
  <si>
    <t xml:space="preserve">T-G08-02</t>
  </si>
  <si>
    <t xml:space="preserve">Fields { action_id, nonce, player_id, session_id, ts } populated.</t>
  </si>
  <si>
    <t xml:space="preserve">T-G08-03</t>
  </si>
  <si>
    <t xml:space="preserve">Filter detects repeated nonce or action_id within active session.</t>
  </si>
  <si>
    <t xml:space="preserve">client_claim</t>
  </si>
  <si>
    <t xml:space="preserve">T-G09-01</t>
  </si>
  <si>
    <t xml:space="preserve">Event emits whenever a client asserts state; reconciliation outcome attached.</t>
  </si>
  <si>
    <t xml:space="preserve">T-G09-02</t>
  </si>
  <si>
    <t xml:space="preserve">Fields { player_id, claim_type, claim_value, reconciliation_outcome } populated.</t>
  </si>
  <si>
    <t xml:space="preserve">T-G09-03</t>
  </si>
  <si>
    <t xml:space="preserve">Filter detects reconciliation_outcome != 'accepted' or value mismatches.</t>
  </si>
  <si>
    <t xml:space="preserve">code_path_invocation</t>
  </si>
  <si>
    <t xml:space="preserve">T-G10-01</t>
  </si>
  <si>
    <t xml:space="preserve">Event emits on entry to any tagged debug path.</t>
  </si>
  <si>
    <t xml:space="preserve">T-G10-02</t>
  </si>
  <si>
    <t xml:space="preserve">Fields { path_id, env_tag, caller, ts } populated.</t>
  </si>
  <si>
    <t xml:space="preserve">T-G10-03</t>
  </si>
  <si>
    <t xml:space="preserve">Filter env_tag == 'debug' invoked from production session triggers.</t>
  </si>
  <si>
    <t xml:space="preserve">expression_event</t>
  </si>
  <si>
    <t xml:space="preserve">T-H01-01</t>
  </si>
  <si>
    <t xml:space="preserve">Event emits for every chat message, including private/whispered.</t>
  </si>
  <si>
    <t xml:space="preserve">T-H01-02</t>
  </si>
  <si>
    <t xml:space="preserve">Fields { source_player_id, recipient_scope, content_ref, classifier_score, ts } populated.</t>
  </si>
  <si>
    <t xml:space="preserve">T-H01-03</t>
  </si>
  <si>
    <t xml:space="preserve">Filter classifier_score crosses threshold OR no classifier output emitted.</t>
  </si>
  <si>
    <t xml:space="preserve">behavior_score_update</t>
  </si>
  <si>
    <t xml:space="preserve">T-H02-01</t>
  </si>
  <si>
    <t xml:space="preserve">Event emits when behavior signal updates for a player.</t>
  </si>
  <si>
    <t xml:space="preserve">T-H02-02</t>
  </si>
  <si>
    <t xml:space="preserve">Fields { player_id, window, signal_type, score, ts } populated.</t>
  </si>
  <si>
    <t xml:space="preserve">T-H02-03</t>
  </si>
  <si>
    <t xml:space="preserve">Filter detects cumulative score rising or repeated signals within window.</t>
  </si>
  <si>
    <t xml:space="preserve">age_gated_interaction</t>
  </si>
  <si>
    <t xml:space="preserve">T-H03-01</t>
  </si>
  <si>
    <t xml:space="preserve">Event emits when an actor targets a recipient on an age-gated action.</t>
  </si>
  <si>
    <t xml:space="preserve">T-H03-02</t>
  </si>
  <si>
    <t xml:space="preserve">Fields { actor_player_id, target_player_id, target_age_bracket, action, ts } populated.</t>
  </si>
  <si>
    <t xml:space="preserve">T-H03-03</t>
  </si>
  <si>
    <t xml:space="preserve">Filter adult actor targeting minor with restricted action fires.</t>
  </si>
  <si>
    <t xml:space="preserve">content_render</t>
  </si>
  <si>
    <t xml:space="preserve">T-H04-01</t>
  </si>
  <si>
    <t xml:space="preserve">Event emits on every content render to a viewer.</t>
  </si>
  <si>
    <t xml:space="preserve">T-H04-02</t>
  </si>
  <si>
    <t xml:space="preserve">Fields { content_id, classifier_tag, viewer_age_bracket, gate_decision } populated.</t>
  </si>
  <si>
    <t xml:space="preserve">T-H04-03</t>
  </si>
  <si>
    <t xml:space="preserve">Filter explicit tag rendered to under-age viewer fires.</t>
  </si>
  <si>
    <t xml:space="preserve">threat_signal</t>
  </si>
  <si>
    <t xml:space="preserve">T-H05-01</t>
  </si>
  <si>
    <t xml:space="preserve">Event emits when threat classifier produces a class label.</t>
  </si>
  <si>
    <t xml:space="preserve">Activation: Latent</t>
  </si>
  <si>
    <t xml:space="preserve">T-H05-02</t>
  </si>
  <si>
    <t xml:space="preserve">Fields { source_player_id, classifier_class, severity, intervention_id } populated.</t>
  </si>
  <si>
    <t xml:space="preserve">T-H05-03</t>
  </si>
  <si>
    <t xml:space="preserve">Filter severity &gt;= high without intervention_id fires.</t>
  </si>
  <si>
    <t xml:space="preserve">identity_field_change</t>
  </si>
  <si>
    <t xml:space="preserve">T-H06-01</t>
  </si>
  <si>
    <t xml:space="preserve">Event emits on every identity field change attempt.</t>
  </si>
  <si>
    <t xml:space="preserve">T-H06-02</t>
  </si>
  <si>
    <t xml:space="preserve">Fields { player_id, field, old_value, new_value, validator_decision } populated.</t>
  </si>
  <si>
    <t xml:space="preserve">T-H06-03</t>
  </si>
  <si>
    <t xml:space="preserve">Filter validator_decision == 'flagged' OR no validator fires.</t>
  </si>
  <si>
    <t xml:space="preserve">report_submitted</t>
  </si>
  <si>
    <t xml:space="preserve">T-H07-01</t>
  </si>
  <si>
    <t xml:space="preserve">Event emits when player submits an abuse report.</t>
  </si>
  <si>
    <t xml:space="preserve">T-H07-02</t>
  </si>
  <si>
    <t xml:space="preserve">Fields { reporter_id, subject_id, category, evidence_ref, ts } populated.</t>
  </si>
  <si>
    <t xml:space="preserve">T-H07-03</t>
  </si>
  <si>
    <t xml:space="preserve">Filter detects reports with non-zero processing rate downstream.</t>
  </si>
  <si>
    <t xml:space="preserve">report_state_change</t>
  </si>
  <si>
    <t xml:space="preserve">T-H08-01</t>
  </si>
  <si>
    <t xml:space="preserve">Event emits on every report state transition.</t>
  </si>
  <si>
    <t xml:space="preserve">T-H08-02</t>
  </si>
  <si>
    <t xml:space="preserve">Fields { report_id, prior_state, new_state, actor, ts } populated.</t>
  </si>
  <si>
    <t xml:space="preserve">T-H08-03</t>
  </si>
  <si>
    <t xml:space="preserve">Filter detects reports stuck past SLA or unreached terminal states.</t>
  </si>
  <si>
    <t xml:space="preserve">control_evaluation</t>
  </si>
  <si>
    <t xml:space="preserve">T-H09-01</t>
  </si>
  <si>
    <t xml:space="preserve">Event emits per control invocation, decision included.</t>
  </si>
  <si>
    <t xml:space="preserve">T-H09-02</t>
  </si>
  <si>
    <t xml:space="preserve">Fields { control_id, input_signature, decision, evasion_score } populated.</t>
  </si>
  <si>
    <t xml:space="preserve">T-H09-03</t>
  </si>
  <si>
    <t xml:space="preserve">Filter same input bypassing control on retry OR evasion_score climbing fires.</t>
  </si>
  <si>
    <t xml:space="preserve">enforcement_decision</t>
  </si>
  <si>
    <t xml:space="preserve">T-H10-01</t>
  </si>
  <si>
    <t xml:space="preserve">Event emits for every enforcement action taken.</t>
  </si>
  <si>
    <t xml:space="preserve">T-H10-02</t>
  </si>
  <si>
    <t xml:space="preserve">Fields { subject_id, action, actor, reason_code, evidence_ref, ts } populated.</t>
  </si>
  <si>
    <t xml:space="preserve">T-H10-03</t>
  </si>
  <si>
    <t xml:space="preserve">Filter detects actions missing actor, reason, or evidence reference.</t>
  </si>
  <si>
    <t xml:space="preserve">input_validation_result</t>
  </si>
  <si>
    <t xml:space="preserve">T-O01-01</t>
  </si>
  <si>
    <t xml:space="preserve">Event emits per endpoint per request validation.</t>
  </si>
  <si>
    <t xml:space="preserve">T-O01-02</t>
  </si>
  <si>
    <t xml:space="preserve">Fields { endpoint, validator_id, decision, payload_size, ts } populated.</t>
  </si>
  <si>
    <t xml:space="preserve">T-O01-03</t>
  </si>
  <si>
    <t xml:space="preserve">Filter rejection rate spike OR validator absent for endpoint fires.</t>
  </si>
  <si>
    <t xml:space="preserve">input_parse_outcome</t>
  </si>
  <si>
    <t xml:space="preserve">T-O02-01</t>
  </si>
  <si>
    <t xml:space="preserve">Event emits with parse outcome for every external input.</t>
  </si>
  <si>
    <t xml:space="preserve">T-O02-02</t>
  </si>
  <si>
    <t xml:space="preserve">Fields { endpoint, parse_result, exception_type, recovery_action } populated.</t>
  </si>
  <si>
    <t xml:space="preserve">T-O02-03</t>
  </si>
  <si>
    <t xml:space="preserve">Filter detects unhandled exceptions or cascading parse failures.</t>
  </si>
  <si>
    <t xml:space="preserve">rate_limit_event</t>
  </si>
  <si>
    <t xml:space="preserve">T-O03-01</t>
  </si>
  <si>
    <t xml:space="preserve">Event emits on every rate-limit decision.</t>
  </si>
  <si>
    <t xml:space="preserve">T-O03-02</t>
  </si>
  <si>
    <t xml:space="preserve">Fields { source_id, endpoint, decision, current_rate, limit } populated.</t>
  </si>
  <si>
    <t xml:space="preserve">T-O03-03</t>
  </si>
  <si>
    <t xml:space="preserve">Filter decision == 'throttled' OR current_rate near limit sustained fires.</t>
  </si>
  <si>
    <t xml:space="preserve">circuit_breaker_state</t>
  </si>
  <si>
    <t xml:space="preserve">T-O04-01</t>
  </si>
  <si>
    <t xml:space="preserve">Event emits on every breaker state change.</t>
  </si>
  <si>
    <t xml:space="preserve">T-O04-02</t>
  </si>
  <si>
    <t xml:space="preserve">Fields { service, state, last_open_ts, downstream_failures } populated.</t>
  </si>
  <si>
    <t xml:space="preserve">T-O04-03</t>
  </si>
  <si>
    <t xml:space="preserve">Filter breaker open OR correlated upstream failures fires.</t>
  </si>
  <si>
    <t xml:space="preserve">resource_utilization</t>
  </si>
  <si>
    <t xml:space="preserve">T-O05-01</t>
  </si>
  <si>
    <t xml:space="preserve">Event emits per resource per sampling window.</t>
  </si>
  <si>
    <t xml:space="preserve">T-O05-02</t>
  </si>
  <si>
    <t xml:space="preserve">Fields { resource, current, limit, growth_rate, ts } populated.</t>
  </si>
  <si>
    <t xml:space="preserve">T-O05-03</t>
  </si>
  <si>
    <t xml:space="preserve">Filter growth_rate &gt; threshold OR current/limit &gt; 0.85 sustained fires.</t>
  </si>
  <si>
    <t xml:space="preserve">traffic_pattern_sample</t>
  </si>
  <si>
    <t xml:space="preserve">T-O06-01</t>
  </si>
  <si>
    <t xml:space="preserve">Event emits with sampled traffic stats per endpoint per window.</t>
  </si>
  <si>
    <t xml:space="preserve">T-O06-02</t>
  </si>
  <si>
    <t xml:space="preserve">Fields { endpoint, baseline_qps, observed_qps, anomaly_score } populated.</t>
  </si>
  <si>
    <t xml:space="preserve">T-O06-03</t>
  </si>
  <si>
    <t xml:space="preserve">Filter anomaly_score above threshold OR observed_qps deviating &gt;3σ fires.</t>
  </si>
  <si>
    <t xml:space="preserve">limit_enforcement</t>
  </si>
  <si>
    <t xml:space="preserve">T-O07-01</t>
  </si>
  <si>
    <t xml:space="preserve">Event emits when an operational limit decision is made.</t>
  </si>
  <si>
    <t xml:space="preserve">T-O07-02</t>
  </si>
  <si>
    <t xml:space="preserve">Fields { subject, limit_type, current, limit, decision } populated.</t>
  </si>
  <si>
    <t xml:space="preserve">T-O07-03</t>
  </si>
  <si>
    <t xml:space="preserve">Filter decision == 'denied' rate climbing OR limit absent for action fires.</t>
  </si>
  <si>
    <t xml:space="preserve">error_event</t>
  </si>
  <si>
    <t xml:space="preserve">T-O08-01</t>
  </si>
  <si>
    <t xml:space="preserve">Event emits on every error with structured fields.</t>
  </si>
  <si>
    <t xml:space="preserve">T-O08-02</t>
  </si>
  <si>
    <t xml:space="preserve">Fields { service, error_class, correlation_id, stack_ref, ts } populated.</t>
  </si>
  <si>
    <t xml:space="preserve">T-O08-03</t>
  </si>
  <si>
    <t xml:space="preserve">Filter detects errors without correlation_id OR generic error_class.</t>
  </si>
  <si>
    <t xml:space="preserve">recovery_event</t>
  </si>
  <si>
    <t xml:space="preserve">T-O09-01</t>
  </si>
  <si>
    <t xml:space="preserve">Event emits per recovery trigger and outcome.</t>
  </si>
  <si>
    <t xml:space="preserve">T-O09-02</t>
  </si>
  <si>
    <t xml:space="preserve">Fields { service, trigger, recovery_action, outcome, duration_ms } populated.</t>
  </si>
  <si>
    <t xml:space="preserve">T-O09-03</t>
  </si>
  <si>
    <t xml:space="preserve">Filter detects recovery without outcome OR repeated triggers.</t>
  </si>
  <si>
    <t xml:space="preserve">service_health</t>
  </si>
  <si>
    <t xml:space="preserve">T-O10-01</t>
  </si>
  <si>
    <t xml:space="preserve">Event emits per SLI per service per sampling interval.</t>
  </si>
  <si>
    <t xml:space="preserve">T-O10-02</t>
  </si>
  <si>
    <t xml:space="preserve">Fields { service, sli_name, value, threshold, status } populated.</t>
  </si>
  <si>
    <t xml:space="preserve">T-O10-03</t>
  </si>
  <si>
    <t xml:space="preserve">Filter status == 'degraded' OR value crossing threshold sustained fires.</t>
  </si>
  <si>
    <t xml:space="preserve">identity_create_or_rename</t>
  </si>
  <si>
    <t xml:space="preserve">T-S01-01</t>
  </si>
  <si>
    <t xml:space="preserve">Event emits on every identity creation or rename request, including rejected attempts.</t>
  </si>
  <si>
    <t xml:space="preserve">T-S01-02</t>
  </si>
  <si>
    <t xml:space="preserve">Fields { player_id, handle, similarity_to_existing, decision } populated and similarity is numeric.</t>
  </si>
  <si>
    <t xml:space="preserve">T-S01-03</t>
  </si>
  <si>
    <t xml:space="preserve">Filter similarity &gt; threshold AND decision == 'allow' fires on look-alike test inputs.</t>
  </si>
  <si>
    <t xml:space="preserve">reputation_delta</t>
  </si>
  <si>
    <t xml:space="preserve">T-S02-01</t>
  </si>
  <si>
    <t xml:space="preserve">Event emits on every reputation mutation.</t>
  </si>
  <si>
    <t xml:space="preserve">T-S02-02</t>
  </si>
  <si>
    <t xml:space="preserve">Fields { player_id, delta, source_event, provenance_chain } populated.</t>
  </si>
  <si>
    <t xml:space="preserve">T-S02-03</t>
  </si>
  <si>
    <t xml:space="preserve">Filter detects reputation gain without valid source_event OR self-referential chain.</t>
  </si>
  <si>
    <t xml:space="preserve">group_action</t>
  </si>
  <si>
    <t xml:space="preserve">T-S03-01</t>
  </si>
  <si>
    <t xml:space="preserve">Event emits on every group-scope action.</t>
  </si>
  <si>
    <t xml:space="preserve">T-S03-02</t>
  </si>
  <si>
    <t xml:space="preserve">Fields { group_id, member_ids, action, individual_decisions } populated.</t>
  </si>
  <si>
    <t xml:space="preserve">T-S03-03</t>
  </si>
  <si>
    <t xml:space="preserve">Filter group decision differs from sum of individual decisions fires.</t>
  </si>
  <si>
    <t xml:space="preserve">coordination_signal</t>
  </si>
  <si>
    <t xml:space="preserve">T-S04-01</t>
  </si>
  <si>
    <t xml:space="preserve">Event emits when cross-account coordination detector samples.</t>
  </si>
  <si>
    <t xml:space="preserve">T-S04-02</t>
  </si>
  <si>
    <t xml:space="preserve">Fields { account_set, signal_type, strength, window } populated.</t>
  </si>
  <si>
    <t xml:space="preserve">T-S04-03</t>
  </si>
  <si>
    <t xml:space="preserve">Filter detects strong correlation across accounts without organic explanation.</t>
  </si>
  <si>
    <t xml:space="preserve">privilege_check</t>
  </si>
  <si>
    <t xml:space="preserve">T-S05-01</t>
  </si>
  <si>
    <t xml:space="preserve">Event emits per privilege evaluation.</t>
  </si>
  <si>
    <t xml:space="preserve">T-S05-02</t>
  </si>
  <si>
    <t xml:space="preserve">Fields { player_id, privilege, account_age_days, decision } populated.</t>
  </si>
  <si>
    <t xml:space="preserve">T-S05-03</t>
  </si>
  <si>
    <t xml:space="preserve">Filter detects high-influence privilege granted to account_age &lt; threshold.</t>
  </si>
  <si>
    <t xml:space="preserve">reputation_event</t>
  </si>
  <si>
    <t xml:space="preserve">T-S06-01</t>
  </si>
  <si>
    <t xml:space="preserve">Event emits with provenance on every reputation change.</t>
  </si>
  <si>
    <t xml:space="preserve">T-S06-02</t>
  </si>
  <si>
    <t xml:space="preserve">Fields { subject_id, prior, new, source_action_id, actor_id } populated.</t>
  </si>
  <si>
    <t xml:space="preserve">T-S06-03</t>
  </si>
  <si>
    <t xml:space="preserve">Filter detects changes without source_action_id or actor mismatch.</t>
  </si>
  <si>
    <t xml:space="preserve">role_action</t>
  </si>
  <si>
    <t xml:space="preserve">T-S07-01</t>
  </si>
  <si>
    <t xml:space="preserve">Event emits on every role-scoped action.</t>
  </si>
  <si>
    <t xml:space="preserve">T-S07-02</t>
  </si>
  <si>
    <t xml:space="preserve">Fields { actor_role, target, action, hierarchy_rule_id, decision } populated.</t>
  </si>
  <si>
    <t xml:space="preserve">T-S07-03</t>
  </si>
  <si>
    <t xml:space="preserve">Filter detects roles exceeding hierarchy permissions OR missing rule_id.</t>
  </si>
  <si>
    <t xml:space="preserve">interaction_pair_signal</t>
  </si>
  <si>
    <t xml:space="preserve">T-S08-01</t>
  </si>
  <si>
    <t xml:space="preserve">Event emits when interaction-pattern classifier samples a player pair.</t>
  </si>
  <si>
    <t xml:space="preserve">T-S08-02</t>
  </si>
  <si>
    <t xml:space="preserve">Fields { source_id, target_id, pattern_class, score, window } populated.</t>
  </si>
  <si>
    <t xml:space="preserve">T-S08-03</t>
  </si>
  <si>
    <t xml:space="preserve">Filter score &gt; threshold for pattern_class == 'harassment' fires.</t>
  </si>
  <si>
    <t xml:space="preserve">community_action_log</t>
  </si>
  <si>
    <t xml:space="preserve">T-S09-01</t>
  </si>
  <si>
    <t xml:space="preserve">Event emits per community-action with full audit context.</t>
  </si>
  <si>
    <t xml:space="preserve">T-S09-02</t>
  </si>
  <si>
    <t xml:space="preserve">Fields { actor_id, action, subjects, context_ref, ts } populated.</t>
  </si>
  <si>
    <t xml:space="preserve">T-S09-03</t>
  </si>
  <si>
    <t xml:space="preserve">Filter detects actions without actor or context reference.</t>
  </si>
  <si>
    <t xml:space="preserve">enforcement_visible</t>
  </si>
  <si>
    <t xml:space="preserve">T-S10-01</t>
  </si>
  <si>
    <t xml:space="preserve">Event emits for every enforcement with visibility status.</t>
  </si>
  <si>
    <t xml:space="preserve">T-S10-02</t>
  </si>
  <si>
    <t xml:space="preserve">Fields { subject_id, action_class, public_visible, audit_ref } populated.</t>
  </si>
  <si>
    <t xml:space="preserve">T-S10-03</t>
  </si>
  <si>
    <t xml:space="preserve">Filter enforcement with public_visible == false where policy requires visibility fires.</t>
  </si>
  <si>
    <t xml:space="preserve">value_transfer</t>
  </si>
  <si>
    <t xml:space="preserve">T-T01-01</t>
  </si>
  <si>
    <t xml:space="preserve">Event emits on every value transfer.</t>
  </si>
  <si>
    <t xml:space="preserve">T-T01-02</t>
  </si>
  <si>
    <t xml:space="preserve">Fields { from, to, amount, asset_id, ledger_seq } populated.</t>
  </si>
  <si>
    <t xml:space="preserve">T-T01-03</t>
  </si>
  <si>
    <t xml:space="preserve">Filter detects duplicate ledger_seq OR conservation violations.</t>
  </si>
  <si>
    <t xml:space="preserve">balance_snapshot</t>
  </si>
  <si>
    <t xml:space="preserve">T-T02-01</t>
  </si>
  <si>
    <t xml:space="preserve">Event emits on every account balance read or change.</t>
  </si>
  <si>
    <t xml:space="preserve">T-T02-02</t>
  </si>
  <si>
    <t xml:space="preserve">Fields { account, balance, asset_id, ledger_seq, ts } populated.</t>
  </si>
  <si>
    <t xml:space="preserve">T-T02-03</t>
  </si>
  <si>
    <t xml:space="preserve">Filter detects balance divergence across replicas OR replay inconsistency.</t>
  </si>
  <si>
    <t xml:space="preserve">transfer_outcome</t>
  </si>
  <si>
    <t xml:space="preserve">T-T03-01</t>
  </si>
  <si>
    <t xml:space="preserve">Event emits with both debit and credit outcomes per transfer.</t>
  </si>
  <si>
    <t xml:space="preserve">T-T03-02</t>
  </si>
  <si>
    <t xml:space="preserve">Fields { transfer_id, debit_outcome, credit_outcome, atomic_flag } populated.</t>
  </si>
  <si>
    <t xml:space="preserve">T-T03-03</t>
  </si>
  <si>
    <t xml:space="preserve">Filter detects partial-success transfers without rollback.</t>
  </si>
  <si>
    <t xml:space="preserve">trade_submission</t>
  </si>
  <si>
    <t xml:space="preserve">T-T04-01</t>
  </si>
  <si>
    <t xml:space="preserve">Event emits on every trade submission with idempotency context.</t>
  </si>
  <si>
    <t xml:space="preserve">T-T04-02</t>
  </si>
  <si>
    <t xml:space="preserve">Fields { trade_id, idempotency_token, parties, outcome } populated.</t>
  </si>
  <si>
    <t xml:space="preserve">T-T04-03</t>
  </si>
  <si>
    <t xml:space="preserve">Filter same idempotency_token producing multiple outcomes fires.</t>
  </si>
  <si>
    <t xml:space="preserve">economic_action_log</t>
  </si>
  <si>
    <t xml:space="preserve">T-T05-01</t>
  </si>
  <si>
    <t xml:space="preserve">Event emits per economic action with provenance.</t>
  </si>
  <si>
    <t xml:space="preserve">T-T05-02</t>
  </si>
  <si>
    <t xml:space="preserve">Fields { actor_id, action, subjects, provenance_chain } populated.</t>
  </si>
  <si>
    <t xml:space="preserve">T-T05-03</t>
  </si>
  <si>
    <t xml:space="preserve">Filter detects economic actions without actor_id or provenance chain.</t>
  </si>
  <si>
    <t xml:space="preserve">market_pattern_signal</t>
  </si>
  <si>
    <t xml:space="preserve">T-T06-01</t>
  </si>
  <si>
    <t xml:space="preserve">Event emits when market-pattern classifier samples.</t>
  </si>
  <si>
    <t xml:space="preserve">T-T06-02</t>
  </si>
  <si>
    <t xml:space="preserve">Fields { instrument, pattern_class, score, actor_set } populated.</t>
  </si>
  <si>
    <t xml:space="preserve">T-T06-03</t>
  </si>
  <si>
    <t xml:space="preserve">Filter score &gt; threshold for wash/spoof/layering patterns fires.</t>
  </si>
  <si>
    <t xml:space="preserve">match_outcome_correlation</t>
  </si>
  <si>
    <t xml:space="preserve">T-T07-01</t>
  </si>
  <si>
    <t xml:space="preserve">Event emits with cross-account outcome correlation per match window.</t>
  </si>
  <si>
    <t xml:space="preserve">T-T07-02</t>
  </si>
  <si>
    <t xml:space="preserve">Fields { account_pair, outcome_skew, frequency, window } populated.</t>
  </si>
  <si>
    <t xml:space="preserve">T-T07-03</t>
  </si>
  <si>
    <t xml:space="preserve">Filter outcome_skew biased without organic explanation across N matches fires.</t>
  </si>
  <si>
    <t xml:space="preserve">high_value_action</t>
  </si>
  <si>
    <t xml:space="preserve">T-T08-01</t>
  </si>
  <si>
    <t xml:space="preserve">Event emits on every high-value classified action.</t>
  </si>
  <si>
    <t xml:space="preserve">T-T08-02</t>
  </si>
  <si>
    <t xml:space="preserve">Fields { actor_id, action, value_class, audit_ref, ts } populated.</t>
  </si>
  <si>
    <t xml:space="preserve">T-T08-03</t>
  </si>
  <si>
    <t xml:space="preserve">Filter value_class == 'high' without audit_ref fires.</t>
  </si>
  <si>
    <t xml:space="preserve">reversal_event</t>
  </si>
  <si>
    <t xml:space="preserve">T-T09-01</t>
  </si>
  <si>
    <t xml:space="preserve">Event emits on every rollback or reversal with original reference.</t>
  </si>
  <si>
    <t xml:space="preserve">T-T09-02</t>
  </si>
  <si>
    <t xml:space="preserve">Fields { reversal_id, original_action_id, reason, actor, ts } populated.</t>
  </si>
  <si>
    <t xml:space="preserve">T-T09-03</t>
  </si>
  <si>
    <t xml:space="preserve">Filter detects reversals without original_action_id or actor null.</t>
  </si>
  <si>
    <t xml:space="preserve">economy_health_sample</t>
  </si>
  <si>
    <t xml:space="preserve">T-T10-01</t>
  </si>
  <si>
    <t xml:space="preserve">Event emits per economy-health metric per sampling window.</t>
  </si>
  <si>
    <t xml:space="preserve">T-T10-02</t>
  </si>
  <si>
    <t xml:space="preserve">Fields { metric, value, baseline, anomaly_score, ts } populated.</t>
  </si>
  <si>
    <t xml:space="preserve">T-T10-03</t>
  </si>
  <si>
    <t xml:space="preserve">Filter anomaly_score above threshold fires on any economy-health metric.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</si>
</sst>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8F4D6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i val="true"/>
      <sz val="11"/>
      <color rgb="FFD0D0D8"/>
      <name val="Calibri"/>
      <family val="0"/>
      <charset val="1"/>
    </font>
    <font>
      <b val="true"/>
      <sz val="10"/>
      <color rgb="FF08F4D6"/>
      <name val="Calibri"/>
      <family val="0"/>
      <charset val="1"/>
    </font>
    <font>
      <sz val="10"/>
      <color rgb="FFD0D0D8"/>
      <name val="Calibri"/>
      <family val="0"/>
      <charset val="1"/>
    </font>
    <font>
      <b val="true"/>
      <sz val="10"/>
      <color rgb="FFFFB347"/>
      <name val="Calibri"/>
      <family val="0"/>
      <charset val="1"/>
    </font>
    <font>
      <b val="true"/>
      <sz val="10"/>
      <color rgb="FF0A2E20"/>
      <name val="Calibri"/>
      <family val="0"/>
      <charset val="1"/>
    </font>
    <font>
      <b val="true"/>
      <sz val="10"/>
      <color rgb="FF3D2200"/>
      <name val="Calibri"/>
      <family val="0"/>
      <charset val="1"/>
    </font>
    <font>
      <b val="true"/>
      <sz val="10"/>
      <color rgb="FF1F0A3D"/>
      <name val="Calibri"/>
      <family val="0"/>
      <charset val="1"/>
    </font>
    <font>
      <b val="true"/>
      <sz val="10"/>
      <color rgb="FFE0E5E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color rgb="FFD0D0D8"/>
      <name val="Calibri"/>
      <family val="0"/>
      <charset val="1"/>
    </font>
    <font>
      <b val="true"/>
      <sz val="10.5"/>
      <color rgb="FF08F4D6"/>
      <name val="Calibri"/>
      <family val="0"/>
      <charset val="1"/>
    </font>
    <font>
      <sz val="9.5"/>
      <color rgb="FF9FE1CB"/>
      <name val="Consolas"/>
      <family val="0"/>
      <charset val="1"/>
    </font>
    <font>
      <sz val="11"/>
      <color rgb="FFD0D0D8"/>
      <name val="Calibri"/>
      <family val="0"/>
      <charset val="1"/>
    </font>
    <font>
      <b val="true"/>
      <sz val="10.5"/>
      <color rgb="FFFFB347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0"/>
      <color rgb="FFD0D0D8"/>
      <name val="Calibri"/>
      <family val="0"/>
      <charset val="1"/>
    </font>
    <font>
      <b val="true"/>
      <sz val="24"/>
      <color rgb="FF08F4D6"/>
      <name val="Calibri"/>
      <family val="0"/>
      <charset val="1"/>
    </font>
    <font>
      <b val="true"/>
      <sz val="24"/>
      <color rgb="FF0A2E20"/>
      <name val="Calibri"/>
      <family val="0"/>
      <charset val="1"/>
    </font>
    <font>
      <b val="true"/>
      <sz val="24"/>
      <color rgb="FF3D2200"/>
      <name val="Calibri"/>
      <family val="0"/>
      <charset val="1"/>
    </font>
    <font>
      <b val="true"/>
      <sz val="24"/>
      <color rgb="FF1F0A3D"/>
      <name val="Calibri"/>
      <family val="0"/>
      <charset val="1"/>
    </font>
    <font>
      <b val="true"/>
      <sz val="24"/>
      <color rgb="FFE0E5EA"/>
      <name val="Calibri"/>
      <family val="0"/>
      <charset val="1"/>
    </font>
    <font>
      <b val="true"/>
      <sz val="11"/>
      <color rgb="FF0A2E20"/>
      <name val="Calibri"/>
      <family val="0"/>
      <charset val="1"/>
    </font>
    <font>
      <b val="true"/>
      <sz val="11"/>
      <color rgb="FF3D2200"/>
      <name val="Calibri"/>
      <family val="0"/>
      <charset val="1"/>
    </font>
    <font>
      <b val="true"/>
      <sz val="11"/>
      <color rgb="FF1F0A3D"/>
      <name val="Calibri"/>
      <family val="0"/>
      <charset val="1"/>
    </font>
    <font>
      <b val="true"/>
      <sz val="11"/>
      <color rgb="FFE0E5EA"/>
      <name val="Calibri"/>
      <family val="0"/>
      <charset val="1"/>
    </font>
    <font>
      <b val="true"/>
      <sz val="11"/>
      <color rgb="FFFFB347"/>
      <name val="Calibri"/>
      <family val="0"/>
      <charset val="1"/>
    </font>
    <font>
      <b val="true"/>
      <sz val="10"/>
      <color rgb="FF3D0808"/>
      <name val="Calibri"/>
      <family val="0"/>
      <charset val="1"/>
    </font>
    <font>
      <b val="true"/>
      <sz val="22"/>
      <color rgb="FF08F4D6"/>
      <name val="Calibri"/>
      <family val="0"/>
      <charset val="1"/>
    </font>
    <font>
      <b val="true"/>
      <sz val="22"/>
      <color rgb="FF0A2E20"/>
      <name val="Calibri"/>
      <family val="0"/>
      <charset val="1"/>
    </font>
    <font>
      <b val="true"/>
      <sz val="22"/>
      <color rgb="FF3D0808"/>
      <name val="Calibri"/>
      <family val="0"/>
      <charset val="1"/>
    </font>
    <font>
      <b val="true"/>
      <sz val="22"/>
      <color rgb="FF3D2200"/>
      <name val="Calibri"/>
      <family val="0"/>
      <charset val="1"/>
    </font>
    <font>
      <b val="true"/>
      <sz val="22"/>
      <color rgb="FFE0E5EA"/>
      <name val="Calibri"/>
      <family val="0"/>
      <charset val="1"/>
    </font>
    <font>
      <b val="true"/>
      <sz val="10"/>
      <color rgb="FF9FE1CB"/>
      <name val="Consolas"/>
      <family val="0"/>
      <charset val="1"/>
    </font>
    <font>
      <b val="true"/>
      <sz val="10"/>
      <color rgb="FF08F4D6"/>
      <name val="Consolas"/>
      <family val="0"/>
      <charset val="1"/>
    </font>
    <font>
      <b val="true"/>
      <sz val="10"/>
      <color rgb="FFBFD8FF"/>
      <name val="Calibri"/>
      <family val="0"/>
      <charset val="1"/>
    </font>
    <font>
      <i val="true"/>
      <sz val="9.5"/>
      <color rgb="FF8A92A6"/>
      <name val="Calibri"/>
      <family val="0"/>
      <charset val="1"/>
    </font>
    <font>
      <sz val="10"/>
      <color rgb="FF9FE1CB"/>
      <name val="Consolas"/>
      <family val="0"/>
      <charset val="1"/>
    </font>
    <font>
      <b val="true"/>
      <sz val="10"/>
      <color rgb="FFD9C0F2"/>
      <name val="Calibri"/>
      <family val="0"/>
      <charset val="1"/>
    </font>
    <font>
      <b val="true"/>
      <sz val="10"/>
      <color rgb="FFFFD79E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B1220"/>
        <bgColor rgb="FF121C2E"/>
      </patternFill>
    </fill>
    <fill>
      <patternFill patternType="solid">
        <fgColor rgb="FF1A2540"/>
        <bgColor rgb="FF162236"/>
      </patternFill>
    </fill>
    <fill>
      <patternFill patternType="solid">
        <fgColor rgb="FF143E3A"/>
        <bgColor rgb="FF243049"/>
      </patternFill>
    </fill>
    <fill>
      <patternFill patternType="solid">
        <fgColor rgb="FF3A2A14"/>
        <bgColor rgb="FF3D2200"/>
      </patternFill>
    </fill>
    <fill>
      <patternFill patternType="solid">
        <fgColor rgb="FF2DD4A4"/>
        <bgColor rgb="FF08F4D6"/>
      </patternFill>
    </fill>
    <fill>
      <patternFill patternType="solid">
        <fgColor rgb="FFFFC857"/>
        <bgColor rgb="FFFFB347"/>
      </patternFill>
    </fill>
    <fill>
      <patternFill patternType="solid">
        <fgColor rgb="FFB794E8"/>
        <bgColor rgb="FF9999FF"/>
      </patternFill>
    </fill>
    <fill>
      <patternFill patternType="solid">
        <fgColor rgb="FF4A5568"/>
        <bgColor rgb="FF2C4870"/>
      </patternFill>
    </fill>
    <fill>
      <patternFill patternType="solid">
        <fgColor rgb="FF162236"/>
        <bgColor rgb="FF1A2540"/>
      </patternFill>
    </fill>
    <fill>
      <patternFill patternType="solid">
        <fgColor rgb="FF121C2E"/>
        <bgColor rgb="FF162236"/>
      </patternFill>
    </fill>
    <fill>
      <patternFill patternType="solid">
        <fgColor rgb="FFFF6A6A"/>
        <bgColor rgb="FFFF6600"/>
      </patternFill>
    </fill>
    <fill>
      <patternFill patternType="solid">
        <fgColor rgb="FF2C4870"/>
        <bgColor rgb="FF4A5568"/>
      </patternFill>
    </fill>
    <fill>
      <patternFill patternType="solid">
        <fgColor rgb="FF4A2D6E"/>
        <bgColor rgb="FF243049"/>
      </patternFill>
    </fill>
    <fill>
      <patternFill patternType="solid">
        <fgColor rgb="FF6E4A1B"/>
        <bgColor rgb="FF4A556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43049"/>
      </left>
      <right style="thin">
        <color rgb="FF243049"/>
      </right>
      <top style="thin">
        <color rgb="FF243049"/>
      </top>
      <bottom style="thin">
        <color rgb="FF243049"/>
      </bottom>
      <diagonal/>
    </border>
    <border diagonalUp="false" diagonalDown="false">
      <left style="thin">
        <color rgb="FF243049"/>
      </left>
      <right style="thin">
        <color rgb="FF243049"/>
      </right>
      <top style="medium">
        <color rgb="FF08F4D6"/>
      </top>
      <bottom style="medium">
        <color rgb="FF08F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0A2E20"/>
        <sz val="11"/>
      </font>
      <fill>
        <patternFill>
          <bgColor rgb="FF2DD4A4"/>
        </patternFill>
      </fill>
    </dxf>
    <dxf>
      <font>
        <name val="Calibri"/>
        <charset val="1"/>
        <family val="0"/>
        <b val="1"/>
        <color rgb="FF3D2200"/>
        <sz val="11"/>
      </font>
      <fill>
        <patternFill>
          <bgColor rgb="FFFFC857"/>
        </patternFill>
      </fill>
    </dxf>
    <dxf>
      <font>
        <name val="Calibri"/>
        <charset val="1"/>
        <family val="0"/>
        <b val="1"/>
        <color rgb="FF1F0A3D"/>
        <sz val="11"/>
      </font>
      <fill>
        <patternFill>
          <bgColor rgb="FFB794E8"/>
        </patternFill>
      </fill>
    </dxf>
    <dxf>
      <font>
        <name val="Calibri"/>
        <charset val="1"/>
        <family val="0"/>
        <b val="1"/>
        <color rgb="FFE0E5EA"/>
        <sz val="11"/>
      </font>
      <fill>
        <patternFill>
          <bgColor rgb="FF4A5568"/>
        </patternFill>
      </fill>
    </dxf>
    <dxf>
      <font>
        <name val="Calibri"/>
        <charset val="1"/>
        <family val="0"/>
        <b val="1"/>
        <color rgb="FF0A2E20"/>
        <sz val="11"/>
      </font>
      <fill>
        <patternFill>
          <bgColor rgb="FF2DD4A4"/>
        </patternFill>
      </fill>
    </dxf>
    <dxf>
      <font>
        <name val="Calibri"/>
        <charset val="1"/>
        <family val="0"/>
        <b val="1"/>
        <color rgb="FF3D0808"/>
        <sz val="11"/>
      </font>
      <fill>
        <patternFill>
          <bgColor rgb="FFFF6A6A"/>
        </patternFill>
      </fill>
    </dxf>
    <dxf>
      <font>
        <name val="Calibri"/>
        <charset val="1"/>
        <family val="0"/>
        <b val="1"/>
        <color rgb="FF3D2200"/>
        <sz val="11"/>
      </font>
      <fill>
        <patternFill>
          <bgColor rgb="FFFFC857"/>
        </patternFill>
      </fill>
    </dxf>
    <dxf>
      <font>
        <name val="Calibri"/>
        <charset val="1"/>
        <family val="0"/>
        <b val="1"/>
        <color rgb="FFE0E5EA"/>
        <sz val="11"/>
      </font>
      <fill>
        <patternFill>
          <bgColor rgb="FF4A556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8F4D6"/>
      <rgbColor rgb="FF3D0808"/>
      <rgbColor rgb="FF008000"/>
      <rgbColor rgb="FF1F0A3D"/>
      <rgbColor rgb="FF808000"/>
      <rgbColor rgb="FF162236"/>
      <rgbColor rgb="FF008080"/>
      <rgbColor rgb="FFD0D0D8"/>
      <rgbColor rgb="FF808080"/>
      <rgbColor rgb="FF9999FF"/>
      <rgbColor rgb="FF993366"/>
      <rgbColor rgb="FFFFFFCC"/>
      <rgbColor rgb="FFE0E5EA"/>
      <rgbColor rgb="FF1A2540"/>
      <rgbColor rgb="FFFF6A6A"/>
      <rgbColor rgb="FF2C4870"/>
      <rgbColor rgb="FFBFD8FF"/>
      <rgbColor rgb="FF0B1220"/>
      <rgbColor rgb="FFFF00FF"/>
      <rgbColor rgb="FFFFFF00"/>
      <rgbColor rgb="FF00FFFF"/>
      <rgbColor rgb="FF121C2E"/>
      <rgbColor rgb="FF3D2200"/>
      <rgbColor rgb="FF008080"/>
      <rgbColor rgb="FF0000FF"/>
      <rgbColor rgb="FF00CCFF"/>
      <rgbColor rgb="FFCCFFFF"/>
      <rgbColor rgb="FFCCFFCC"/>
      <rgbColor rgb="FFFFFF99"/>
      <rgbColor rgb="FF9FE1CB"/>
      <rgbColor rgb="FFD9C0F2"/>
      <rgbColor rgb="FFB794E8"/>
      <rgbColor rgb="FFFFD79E"/>
      <rgbColor rgb="FF3366FF"/>
      <rgbColor rgb="FF2DD4A4"/>
      <rgbColor rgb="FF99CC00"/>
      <rgbColor rgb="FFFFC857"/>
      <rgbColor rgb="FFFFB347"/>
      <rgbColor rgb="FFFF6600"/>
      <rgbColor rgb="FF4A5568"/>
      <rgbColor rgb="FF8A92A6"/>
      <rgbColor rgb="FF143E3A"/>
      <rgbColor rgb="FF339966"/>
      <rgbColor rgb="FF0A2E20"/>
      <rgbColor rgb="FF3A2A14"/>
      <rgbColor rgb="FF6E4A1B"/>
      <rgbColor rgb="FF993366"/>
      <rgbColor rgb="FF4A2D6E"/>
      <rgbColor rgb="FF2430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95"/>
  </cols>
  <sheetData>
    <row r="1" customFormat="false" ht="15" hidden="false" customHeight="true" outlineLevel="0" collapsed="false">
      <c r="A1" s="2"/>
      <c r="B1" s="2"/>
      <c r="C1" s="2"/>
      <c r="D1" s="2"/>
      <c r="E1" s="2"/>
    </row>
    <row r="2" customFormat="false" ht="15" hidden="false" customHeight="true" outlineLevel="0" collapsed="false">
      <c r="A2" s="2"/>
      <c r="B2" s="3" t="s">
        <v>0</v>
      </c>
      <c r="C2" s="2"/>
      <c r="D2" s="2"/>
      <c r="E2" s="2"/>
    </row>
    <row r="3" customFormat="false" ht="31.5" hidden="false" customHeight="true" outlineLevel="0" collapsed="false">
      <c r="A3" s="2"/>
      <c r="B3" s="4" t="s">
        <v>1</v>
      </c>
      <c r="C3" s="2"/>
      <c r="D3" s="2"/>
      <c r="E3" s="2"/>
    </row>
    <row r="4" customFormat="false" ht="37.5" hidden="false" customHeight="true" outlineLevel="0" collapsed="false">
      <c r="A4" s="2"/>
      <c r="B4" s="5" t="s">
        <v>2</v>
      </c>
      <c r="C4" s="5"/>
      <c r="D4" s="2"/>
      <c r="E4" s="2"/>
    </row>
    <row r="5" customFormat="false" ht="15" hidden="false" customHeight="true" outlineLevel="0" collapsed="false">
      <c r="A5" s="2"/>
      <c r="B5" s="2"/>
      <c r="C5" s="2"/>
      <c r="D5" s="2"/>
      <c r="E5" s="2"/>
    </row>
    <row r="6" customFormat="false" ht="15" hidden="false" customHeight="true" outlineLevel="0" collapsed="false">
      <c r="A6" s="2"/>
      <c r="B6" s="6" t="s">
        <v>3</v>
      </c>
      <c r="C6" s="2"/>
      <c r="D6" s="2"/>
      <c r="E6" s="2"/>
    </row>
    <row r="7" customFormat="false" ht="31.5" hidden="false" customHeight="true" outlineLevel="0" collapsed="false">
      <c r="A7" s="2"/>
      <c r="B7" s="7" t="s">
        <v>4</v>
      </c>
      <c r="C7" s="8" t="s">
        <v>5</v>
      </c>
      <c r="D7" s="2"/>
      <c r="E7" s="2"/>
    </row>
    <row r="8" customFormat="false" ht="31.5" hidden="false" customHeight="true" outlineLevel="0" collapsed="false">
      <c r="A8" s="2"/>
      <c r="B8" s="7" t="s">
        <v>6</v>
      </c>
      <c r="C8" s="8" t="s">
        <v>7</v>
      </c>
      <c r="D8" s="2"/>
      <c r="E8" s="2"/>
    </row>
    <row r="9" customFormat="false" ht="31.5" hidden="false" customHeight="true" outlineLevel="0" collapsed="false">
      <c r="A9" s="2"/>
      <c r="B9" s="7" t="s">
        <v>8</v>
      </c>
      <c r="C9" s="8" t="s">
        <v>9</v>
      </c>
      <c r="D9" s="2"/>
      <c r="E9" s="2"/>
    </row>
    <row r="10" customFormat="false" ht="31.5" hidden="false" customHeight="true" outlineLevel="0" collapsed="false">
      <c r="A10" s="2"/>
      <c r="B10" s="7" t="s">
        <v>10</v>
      </c>
      <c r="C10" s="8" t="s">
        <v>11</v>
      </c>
      <c r="D10" s="2"/>
      <c r="E10" s="2"/>
    </row>
    <row r="11" customFormat="false" ht="31.5" hidden="false" customHeight="true" outlineLevel="0" collapsed="false">
      <c r="A11" s="2"/>
      <c r="B11" s="7" t="s">
        <v>12</v>
      </c>
      <c r="C11" s="8" t="s">
        <v>13</v>
      </c>
      <c r="D11" s="2"/>
      <c r="E11" s="2"/>
    </row>
    <row r="12" customFormat="false" ht="31.5" hidden="false" customHeight="true" outlineLevel="0" collapsed="false">
      <c r="A12" s="2"/>
      <c r="B12" s="7" t="s">
        <v>14</v>
      </c>
      <c r="C12" s="8" t="s">
        <v>15</v>
      </c>
      <c r="D12" s="2"/>
      <c r="E12" s="2"/>
    </row>
    <row r="13" customFormat="false" ht="31.5" hidden="false" customHeight="true" outlineLevel="0" collapsed="false">
      <c r="A13" s="2"/>
      <c r="B13" s="7" t="s">
        <v>16</v>
      </c>
      <c r="C13" s="8" t="s">
        <v>17</v>
      </c>
      <c r="D13" s="2"/>
      <c r="E13" s="2"/>
    </row>
    <row r="14" customFormat="false" ht="31.5" hidden="false" customHeight="true" outlineLevel="0" collapsed="false">
      <c r="A14" s="2"/>
      <c r="B14" s="7" t="s">
        <v>18</v>
      </c>
      <c r="C14" s="8" t="s">
        <v>19</v>
      </c>
      <c r="D14" s="2"/>
      <c r="E14" s="2"/>
    </row>
    <row r="15" customFormat="false" ht="31.5" hidden="false" customHeight="true" outlineLevel="0" collapsed="false">
      <c r="A15" s="2"/>
      <c r="B15" s="7" t="s">
        <v>20</v>
      </c>
      <c r="C15" s="8" t="s">
        <v>21</v>
      </c>
      <c r="D15" s="2"/>
      <c r="E15" s="2"/>
    </row>
    <row r="16" customFormat="false" ht="31.5" hidden="false" customHeight="true" outlineLevel="0" collapsed="false">
      <c r="A16" s="2"/>
      <c r="B16" s="7" t="s">
        <v>22</v>
      </c>
      <c r="C16" s="8" t="s">
        <v>23</v>
      </c>
      <c r="D16" s="2"/>
      <c r="E16" s="2"/>
    </row>
    <row r="17" customFormat="false" ht="15" hidden="false" customHeight="true" outlineLevel="0" collapsed="false">
      <c r="A17" s="2"/>
      <c r="B17" s="2"/>
      <c r="C17" s="2"/>
      <c r="D17" s="2"/>
      <c r="E17" s="2"/>
    </row>
    <row r="18" customFormat="false" ht="15" hidden="false" customHeight="true" outlineLevel="0" collapsed="false">
      <c r="A18" s="2"/>
      <c r="B18" s="6" t="s">
        <v>24</v>
      </c>
      <c r="C18" s="2"/>
      <c r="D18" s="2"/>
      <c r="E18" s="2"/>
    </row>
    <row r="19" customFormat="false" ht="25.5" hidden="false" customHeight="true" outlineLevel="0" collapsed="false">
      <c r="A19" s="2"/>
      <c r="B19" s="9" t="s">
        <v>25</v>
      </c>
      <c r="C19" s="10" t="s">
        <v>26</v>
      </c>
      <c r="D19" s="2"/>
      <c r="E19" s="2"/>
    </row>
    <row r="20" customFormat="false" ht="25.5" hidden="false" customHeight="true" outlineLevel="0" collapsed="false">
      <c r="A20" s="2"/>
      <c r="B20" s="9" t="s">
        <v>27</v>
      </c>
      <c r="C20" s="10" t="s">
        <v>28</v>
      </c>
      <c r="D20" s="2"/>
      <c r="E20" s="2"/>
    </row>
    <row r="21" customFormat="false" ht="25.5" hidden="false" customHeight="true" outlineLevel="0" collapsed="false">
      <c r="A21" s="2"/>
      <c r="B21" s="9" t="s">
        <v>29</v>
      </c>
      <c r="C21" s="10" t="s">
        <v>30</v>
      </c>
      <c r="D21" s="2"/>
      <c r="E21" s="2"/>
    </row>
    <row r="22" customFormat="false" ht="25.5" hidden="false" customHeight="true" outlineLevel="0" collapsed="false">
      <c r="A22" s="2"/>
      <c r="B22" s="9" t="s">
        <v>31</v>
      </c>
      <c r="C22" s="10" t="s">
        <v>32</v>
      </c>
      <c r="D22" s="2"/>
      <c r="E22" s="2"/>
    </row>
    <row r="23" customFormat="false" ht="25.5" hidden="false" customHeight="true" outlineLevel="0" collapsed="false">
      <c r="A23" s="2"/>
      <c r="B23" s="9" t="s">
        <v>33</v>
      </c>
      <c r="C23" s="10" t="s">
        <v>34</v>
      </c>
      <c r="D23" s="2"/>
      <c r="E23" s="2"/>
    </row>
    <row r="24" customFormat="false" ht="25.5" hidden="false" customHeight="true" outlineLevel="0" collapsed="false">
      <c r="A24" s="2"/>
      <c r="B24" s="11" t="s">
        <v>35</v>
      </c>
      <c r="C24" s="10" t="s">
        <v>36</v>
      </c>
      <c r="D24" s="2"/>
      <c r="E24" s="2"/>
    </row>
    <row r="25" customFormat="false" ht="15" hidden="false" customHeight="true" outlineLevel="0" collapsed="false">
      <c r="A25" s="2"/>
      <c r="B25" s="2"/>
      <c r="C25" s="2"/>
      <c r="D25" s="2"/>
      <c r="E25" s="2"/>
    </row>
    <row r="26" customFormat="false" ht="15" hidden="false" customHeight="true" outlineLevel="0" collapsed="false">
      <c r="A26" s="2"/>
      <c r="B26" s="6" t="s">
        <v>37</v>
      </c>
      <c r="C26" s="2"/>
      <c r="D26" s="2"/>
      <c r="E26" s="2"/>
    </row>
    <row r="27" customFormat="false" ht="31.5" hidden="false" customHeight="true" outlineLevel="0" collapsed="false">
      <c r="A27" s="2"/>
      <c r="B27" s="12" t="s">
        <v>38</v>
      </c>
      <c r="C27" s="10" t="s">
        <v>39</v>
      </c>
      <c r="D27" s="2"/>
      <c r="E27" s="2"/>
    </row>
    <row r="28" customFormat="false" ht="31.5" hidden="false" customHeight="true" outlineLevel="0" collapsed="false">
      <c r="A28" s="2"/>
      <c r="B28" s="13" t="s">
        <v>40</v>
      </c>
      <c r="C28" s="10" t="s">
        <v>41</v>
      </c>
      <c r="D28" s="2"/>
      <c r="E28" s="2"/>
    </row>
    <row r="29" customFormat="false" ht="31.5" hidden="false" customHeight="true" outlineLevel="0" collapsed="false">
      <c r="A29" s="2"/>
      <c r="B29" s="14" t="s">
        <v>42</v>
      </c>
      <c r="C29" s="10" t="s">
        <v>43</v>
      </c>
      <c r="D29" s="2"/>
      <c r="E29" s="2"/>
    </row>
    <row r="30" customFormat="false" ht="31.5" hidden="false" customHeight="true" outlineLevel="0" collapsed="false">
      <c r="A30" s="2"/>
      <c r="B30" s="15" t="s">
        <v>44</v>
      </c>
      <c r="C30" s="10" t="s">
        <v>45</v>
      </c>
      <c r="D30" s="2"/>
      <c r="E30" s="2"/>
    </row>
    <row r="31" customFormat="false" ht="15" hidden="false" customHeight="true" outlineLevel="0" collapsed="false">
      <c r="A31" s="2"/>
      <c r="B31" s="2"/>
      <c r="C31" s="2"/>
      <c r="D31" s="2"/>
      <c r="E31" s="2"/>
    </row>
    <row r="32" customFormat="false" ht="15" hidden="false" customHeight="true" outlineLevel="0" collapsed="false">
      <c r="A32" s="2"/>
      <c r="B32" s="2"/>
      <c r="C32" s="2"/>
      <c r="D32" s="2"/>
      <c r="E32" s="2"/>
    </row>
    <row r="33" customFormat="false" ht="15" hidden="false" customHeight="true" outlineLevel="0" collapsed="false">
      <c r="A33" s="2"/>
      <c r="B33" s="2"/>
      <c r="C33" s="2"/>
      <c r="D33" s="2"/>
      <c r="E33" s="2"/>
    </row>
    <row r="34" customFormat="false" ht="15" hidden="false" customHeight="true" outlineLevel="0" collapsed="false">
      <c r="A34" s="2"/>
      <c r="B34" s="2"/>
      <c r="C34" s="2"/>
      <c r="D34" s="2"/>
      <c r="E34" s="2"/>
    </row>
    <row r="35" customFormat="false" ht="15" hidden="false" customHeight="true" outlineLevel="0" collapsed="false">
      <c r="A35" s="2"/>
      <c r="B35" s="2"/>
      <c r="C35" s="2"/>
      <c r="D35" s="2"/>
      <c r="E35" s="2"/>
    </row>
  </sheetData>
  <mergeCells count="1"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50"/>
    <col collapsed="false" customWidth="true" hidden="false" outlineLevel="0" max="7" min="7" style="1" width="40"/>
    <col collapsed="false" customWidth="true" hidden="false" outlineLevel="0" max="8" min="8" style="1" width="38"/>
    <col collapsed="false" customWidth="true" hidden="false" outlineLevel="0" max="9" min="9" style="1" width="18"/>
    <col collapsed="false" customWidth="true" hidden="false" outlineLevel="0" max="10" min="10" style="1" width="38"/>
  </cols>
  <sheetData>
    <row r="1" customFormat="false" ht="31.5" hidden="false" customHeight="true" outlineLevel="0" collapsed="false">
      <c r="A1" s="16" t="s">
        <v>4</v>
      </c>
      <c r="B1" s="16" t="s">
        <v>6</v>
      </c>
      <c r="C1" s="16" t="s">
        <v>8</v>
      </c>
      <c r="D1" s="16" t="s">
        <v>10</v>
      </c>
      <c r="E1" s="16" t="s">
        <v>12</v>
      </c>
      <c r="F1" s="16" t="s">
        <v>14</v>
      </c>
      <c r="G1" s="16" t="s">
        <v>16</v>
      </c>
      <c r="H1" s="16" t="s">
        <v>18</v>
      </c>
      <c r="I1" s="16" t="s">
        <v>20</v>
      </c>
      <c r="J1" s="16" t="s">
        <v>22</v>
      </c>
      <c r="K1" s="2"/>
    </row>
    <row r="2" customFormat="false" ht="57.75" hidden="false" customHeight="true" outlineLevel="0" collapsed="false">
      <c r="A2" s="17" t="s">
        <v>46</v>
      </c>
      <c r="B2" s="18" t="s">
        <v>47</v>
      </c>
      <c r="C2" s="19" t="s">
        <v>48</v>
      </c>
      <c r="D2" s="20" t="s">
        <v>29</v>
      </c>
      <c r="E2" s="19"/>
      <c r="F2" s="21" t="s">
        <v>49</v>
      </c>
      <c r="G2" s="21" t="s">
        <v>50</v>
      </c>
      <c r="H2" s="19" t="s">
        <v>51</v>
      </c>
      <c r="I2" s="22"/>
      <c r="J2" s="19"/>
      <c r="K2" s="2"/>
    </row>
    <row r="3" customFormat="false" ht="57.75" hidden="false" customHeight="true" outlineLevel="0" collapsed="false">
      <c r="A3" s="17" t="s">
        <v>52</v>
      </c>
      <c r="B3" s="18" t="s">
        <v>47</v>
      </c>
      <c r="C3" s="19" t="s">
        <v>53</v>
      </c>
      <c r="D3" s="20" t="s">
        <v>25</v>
      </c>
      <c r="E3" s="19"/>
      <c r="F3" s="21" t="s">
        <v>54</v>
      </c>
      <c r="G3" s="21" t="s">
        <v>55</v>
      </c>
      <c r="H3" s="19" t="s">
        <v>56</v>
      </c>
      <c r="I3" s="22"/>
      <c r="J3" s="19"/>
      <c r="K3" s="2"/>
    </row>
    <row r="4" customFormat="false" ht="57.75" hidden="false" customHeight="true" outlineLevel="0" collapsed="false">
      <c r="A4" s="17" t="s">
        <v>57</v>
      </c>
      <c r="B4" s="18" t="s">
        <v>47</v>
      </c>
      <c r="C4" s="19" t="s">
        <v>58</v>
      </c>
      <c r="D4" s="20" t="s">
        <v>29</v>
      </c>
      <c r="E4" s="19"/>
      <c r="F4" s="21" t="s">
        <v>59</v>
      </c>
      <c r="G4" s="21" t="s">
        <v>60</v>
      </c>
      <c r="H4" s="19" t="s">
        <v>61</v>
      </c>
      <c r="I4" s="22"/>
      <c r="J4" s="19"/>
      <c r="K4" s="2"/>
    </row>
    <row r="5" customFormat="false" ht="57.75" hidden="false" customHeight="true" outlineLevel="0" collapsed="false">
      <c r="A5" s="17" t="s">
        <v>62</v>
      </c>
      <c r="B5" s="18" t="s">
        <v>47</v>
      </c>
      <c r="C5" s="19" t="s">
        <v>63</v>
      </c>
      <c r="D5" s="20" t="s">
        <v>29</v>
      </c>
      <c r="E5" s="19"/>
      <c r="F5" s="21" t="s">
        <v>64</v>
      </c>
      <c r="G5" s="21" t="s">
        <v>65</v>
      </c>
      <c r="H5" s="19" t="s">
        <v>66</v>
      </c>
      <c r="I5" s="22"/>
      <c r="J5" s="19"/>
      <c r="K5" s="2"/>
    </row>
    <row r="6" customFormat="false" ht="57.75" hidden="false" customHeight="true" outlineLevel="0" collapsed="false">
      <c r="A6" s="17" t="s">
        <v>67</v>
      </c>
      <c r="B6" s="18" t="s">
        <v>47</v>
      </c>
      <c r="C6" s="19" t="s">
        <v>68</v>
      </c>
      <c r="D6" s="20" t="s">
        <v>25</v>
      </c>
      <c r="E6" s="19"/>
      <c r="F6" s="21" t="s">
        <v>69</v>
      </c>
      <c r="G6" s="21" t="s">
        <v>70</v>
      </c>
      <c r="H6" s="19" t="s">
        <v>71</v>
      </c>
      <c r="I6" s="22"/>
      <c r="J6" s="19"/>
      <c r="K6" s="2"/>
    </row>
    <row r="7" customFormat="false" ht="57.75" hidden="false" customHeight="true" outlineLevel="0" collapsed="false">
      <c r="A7" s="17" t="s">
        <v>72</v>
      </c>
      <c r="B7" s="18" t="s">
        <v>47</v>
      </c>
      <c r="C7" s="19" t="s">
        <v>73</v>
      </c>
      <c r="D7" s="20" t="s">
        <v>29</v>
      </c>
      <c r="E7" s="19"/>
      <c r="F7" s="21" t="s">
        <v>74</v>
      </c>
      <c r="G7" s="21" t="s">
        <v>75</v>
      </c>
      <c r="H7" s="19" t="s">
        <v>76</v>
      </c>
      <c r="I7" s="22"/>
      <c r="J7" s="19"/>
      <c r="K7" s="2"/>
    </row>
    <row r="8" customFormat="false" ht="57.75" hidden="false" customHeight="true" outlineLevel="0" collapsed="false">
      <c r="A8" s="17" t="s">
        <v>77</v>
      </c>
      <c r="B8" s="18" t="s">
        <v>47</v>
      </c>
      <c r="C8" s="19" t="s">
        <v>78</v>
      </c>
      <c r="D8" s="20" t="s">
        <v>29</v>
      </c>
      <c r="E8" s="19"/>
      <c r="F8" s="21" t="s">
        <v>79</v>
      </c>
      <c r="G8" s="21" t="s">
        <v>80</v>
      </c>
      <c r="H8" s="19" t="s">
        <v>81</v>
      </c>
      <c r="I8" s="22"/>
      <c r="J8" s="19"/>
      <c r="K8" s="2"/>
    </row>
    <row r="9" customFormat="false" ht="57.75" hidden="false" customHeight="true" outlineLevel="0" collapsed="false">
      <c r="A9" s="17" t="s">
        <v>82</v>
      </c>
      <c r="B9" s="18" t="s">
        <v>47</v>
      </c>
      <c r="C9" s="19" t="s">
        <v>83</v>
      </c>
      <c r="D9" s="20" t="s">
        <v>25</v>
      </c>
      <c r="E9" s="19"/>
      <c r="F9" s="21" t="s">
        <v>84</v>
      </c>
      <c r="G9" s="21" t="s">
        <v>85</v>
      </c>
      <c r="H9" s="19" t="s">
        <v>86</v>
      </c>
      <c r="I9" s="22"/>
      <c r="J9" s="19"/>
      <c r="K9" s="2"/>
    </row>
    <row r="10" customFormat="false" ht="57.75" hidden="false" customHeight="true" outlineLevel="0" collapsed="false">
      <c r="A10" s="17" t="s">
        <v>87</v>
      </c>
      <c r="B10" s="18" t="s">
        <v>47</v>
      </c>
      <c r="C10" s="19" t="s">
        <v>88</v>
      </c>
      <c r="D10" s="20" t="s">
        <v>25</v>
      </c>
      <c r="E10" s="19"/>
      <c r="F10" s="21" t="s">
        <v>89</v>
      </c>
      <c r="G10" s="21" t="s">
        <v>90</v>
      </c>
      <c r="H10" s="19" t="s">
        <v>91</v>
      </c>
      <c r="I10" s="22"/>
      <c r="J10" s="19"/>
      <c r="K10" s="2"/>
    </row>
    <row r="11" customFormat="false" ht="57.75" hidden="false" customHeight="true" outlineLevel="0" collapsed="false">
      <c r="A11" s="17" t="s">
        <v>92</v>
      </c>
      <c r="B11" s="18" t="s">
        <v>47</v>
      </c>
      <c r="C11" s="19" t="s">
        <v>93</v>
      </c>
      <c r="D11" s="23" t="s">
        <v>35</v>
      </c>
      <c r="E11" s="19"/>
      <c r="F11" s="21" t="s">
        <v>94</v>
      </c>
      <c r="G11" s="21" t="s">
        <v>95</v>
      </c>
      <c r="H11" s="19" t="s">
        <v>96</v>
      </c>
      <c r="I11" s="22"/>
      <c r="J11" s="19"/>
      <c r="K11" s="2"/>
    </row>
    <row r="12" customFormat="false" ht="57.75" hidden="false" customHeight="true" outlineLevel="0" collapsed="false">
      <c r="A12" s="24" t="s">
        <v>97</v>
      </c>
      <c r="B12" s="25" t="s">
        <v>98</v>
      </c>
      <c r="C12" s="26" t="s">
        <v>99</v>
      </c>
      <c r="D12" s="20" t="s">
        <v>27</v>
      </c>
      <c r="E12" s="26"/>
      <c r="F12" s="21" t="s">
        <v>100</v>
      </c>
      <c r="G12" s="21" t="s">
        <v>101</v>
      </c>
      <c r="H12" s="26" t="s">
        <v>102</v>
      </c>
      <c r="I12" s="27"/>
      <c r="J12" s="26"/>
      <c r="K12" s="2"/>
    </row>
    <row r="13" customFormat="false" ht="57.75" hidden="false" customHeight="true" outlineLevel="0" collapsed="false">
      <c r="A13" s="24" t="s">
        <v>103</v>
      </c>
      <c r="B13" s="25" t="s">
        <v>98</v>
      </c>
      <c r="C13" s="26" t="s">
        <v>104</v>
      </c>
      <c r="D13" s="20" t="s">
        <v>25</v>
      </c>
      <c r="E13" s="26"/>
      <c r="F13" s="21" t="s">
        <v>105</v>
      </c>
      <c r="G13" s="21" t="s">
        <v>106</v>
      </c>
      <c r="H13" s="26" t="s">
        <v>107</v>
      </c>
      <c r="I13" s="27"/>
      <c r="J13" s="26"/>
      <c r="K13" s="2"/>
    </row>
    <row r="14" customFormat="false" ht="57.75" hidden="false" customHeight="true" outlineLevel="0" collapsed="false">
      <c r="A14" s="24" t="s">
        <v>108</v>
      </c>
      <c r="B14" s="25" t="s">
        <v>98</v>
      </c>
      <c r="C14" s="26" t="s">
        <v>109</v>
      </c>
      <c r="D14" s="20" t="s">
        <v>25</v>
      </c>
      <c r="E14" s="26"/>
      <c r="F14" s="21" t="s">
        <v>110</v>
      </c>
      <c r="G14" s="21" t="s">
        <v>111</v>
      </c>
      <c r="H14" s="26" t="s">
        <v>112</v>
      </c>
      <c r="I14" s="27"/>
      <c r="J14" s="26"/>
      <c r="K14" s="2"/>
    </row>
    <row r="15" customFormat="false" ht="57.75" hidden="false" customHeight="true" outlineLevel="0" collapsed="false">
      <c r="A15" s="24" t="s">
        <v>113</v>
      </c>
      <c r="B15" s="25" t="s">
        <v>98</v>
      </c>
      <c r="C15" s="26" t="s">
        <v>114</v>
      </c>
      <c r="D15" s="20" t="s">
        <v>33</v>
      </c>
      <c r="E15" s="26"/>
      <c r="F15" s="21" t="s">
        <v>115</v>
      </c>
      <c r="G15" s="21" t="s">
        <v>116</v>
      </c>
      <c r="H15" s="26" t="s">
        <v>117</v>
      </c>
      <c r="I15" s="27"/>
      <c r="J15" s="26"/>
      <c r="K15" s="2"/>
    </row>
    <row r="16" customFormat="false" ht="57.75" hidden="false" customHeight="true" outlineLevel="0" collapsed="false">
      <c r="A16" s="24" t="s">
        <v>118</v>
      </c>
      <c r="B16" s="25" t="s">
        <v>98</v>
      </c>
      <c r="C16" s="26" t="s">
        <v>119</v>
      </c>
      <c r="D16" s="20" t="s">
        <v>27</v>
      </c>
      <c r="E16" s="26"/>
      <c r="F16" s="21" t="s">
        <v>120</v>
      </c>
      <c r="G16" s="21" t="s">
        <v>121</v>
      </c>
      <c r="H16" s="26" t="s">
        <v>122</v>
      </c>
      <c r="I16" s="27"/>
      <c r="J16" s="26"/>
      <c r="K16" s="2"/>
    </row>
    <row r="17" customFormat="false" ht="57.75" hidden="false" customHeight="true" outlineLevel="0" collapsed="false">
      <c r="A17" s="24" t="s">
        <v>123</v>
      </c>
      <c r="B17" s="25" t="s">
        <v>98</v>
      </c>
      <c r="C17" s="26" t="s">
        <v>124</v>
      </c>
      <c r="D17" s="20" t="s">
        <v>33</v>
      </c>
      <c r="E17" s="26"/>
      <c r="F17" s="21" t="s">
        <v>125</v>
      </c>
      <c r="G17" s="21" t="s">
        <v>126</v>
      </c>
      <c r="H17" s="26" t="s">
        <v>127</v>
      </c>
      <c r="I17" s="27"/>
      <c r="J17" s="26"/>
      <c r="K17" s="2"/>
    </row>
    <row r="18" customFormat="false" ht="57.75" hidden="false" customHeight="true" outlineLevel="0" collapsed="false">
      <c r="A18" s="24" t="s">
        <v>128</v>
      </c>
      <c r="B18" s="25" t="s">
        <v>98</v>
      </c>
      <c r="C18" s="26" t="s">
        <v>129</v>
      </c>
      <c r="D18" s="20" t="s">
        <v>27</v>
      </c>
      <c r="E18" s="26"/>
      <c r="F18" s="21" t="s">
        <v>130</v>
      </c>
      <c r="G18" s="21" t="s">
        <v>131</v>
      </c>
      <c r="H18" s="26" t="s">
        <v>132</v>
      </c>
      <c r="I18" s="27"/>
      <c r="J18" s="26"/>
      <c r="K18" s="2"/>
    </row>
    <row r="19" customFormat="false" ht="57.75" hidden="false" customHeight="true" outlineLevel="0" collapsed="false">
      <c r="A19" s="24" t="s">
        <v>133</v>
      </c>
      <c r="B19" s="25" t="s">
        <v>98</v>
      </c>
      <c r="C19" s="26" t="s">
        <v>134</v>
      </c>
      <c r="D19" s="23" t="s">
        <v>35</v>
      </c>
      <c r="E19" s="26"/>
      <c r="F19" s="21" t="s">
        <v>135</v>
      </c>
      <c r="G19" s="21" t="s">
        <v>136</v>
      </c>
      <c r="H19" s="26" t="s">
        <v>137</v>
      </c>
      <c r="I19" s="27"/>
      <c r="J19" s="26"/>
      <c r="K19" s="2"/>
    </row>
    <row r="20" customFormat="false" ht="57.75" hidden="false" customHeight="true" outlineLevel="0" collapsed="false">
      <c r="A20" s="24" t="s">
        <v>138</v>
      </c>
      <c r="B20" s="25" t="s">
        <v>98</v>
      </c>
      <c r="C20" s="26" t="s">
        <v>139</v>
      </c>
      <c r="D20" s="23" t="s">
        <v>35</v>
      </c>
      <c r="E20" s="26"/>
      <c r="F20" s="21" t="s">
        <v>140</v>
      </c>
      <c r="G20" s="21" t="s">
        <v>141</v>
      </c>
      <c r="H20" s="26" t="s">
        <v>142</v>
      </c>
      <c r="I20" s="27"/>
      <c r="J20" s="26"/>
      <c r="K20" s="2"/>
    </row>
    <row r="21" customFormat="false" ht="57.75" hidden="false" customHeight="true" outlineLevel="0" collapsed="false">
      <c r="A21" s="24" t="s">
        <v>143</v>
      </c>
      <c r="B21" s="25" t="s">
        <v>98</v>
      </c>
      <c r="C21" s="26" t="s">
        <v>144</v>
      </c>
      <c r="D21" s="23" t="s">
        <v>35</v>
      </c>
      <c r="E21" s="26"/>
      <c r="F21" s="21" t="s">
        <v>145</v>
      </c>
      <c r="G21" s="21" t="s">
        <v>146</v>
      </c>
      <c r="H21" s="26" t="s">
        <v>147</v>
      </c>
      <c r="I21" s="27"/>
      <c r="J21" s="26"/>
      <c r="K21" s="2"/>
    </row>
    <row r="22" customFormat="false" ht="57.75" hidden="false" customHeight="true" outlineLevel="0" collapsed="false">
      <c r="A22" s="17" t="s">
        <v>148</v>
      </c>
      <c r="B22" s="18" t="s">
        <v>35</v>
      </c>
      <c r="C22" s="19" t="s">
        <v>149</v>
      </c>
      <c r="D22" s="23" t="s">
        <v>35</v>
      </c>
      <c r="E22" s="19"/>
      <c r="F22" s="21" t="s">
        <v>150</v>
      </c>
      <c r="G22" s="21" t="s">
        <v>151</v>
      </c>
      <c r="H22" s="19" t="s">
        <v>152</v>
      </c>
      <c r="I22" s="22"/>
      <c r="J22" s="19"/>
      <c r="K22" s="2"/>
    </row>
    <row r="23" customFormat="false" ht="57.75" hidden="false" customHeight="true" outlineLevel="0" collapsed="false">
      <c r="A23" s="17" t="s">
        <v>153</v>
      </c>
      <c r="B23" s="18" t="s">
        <v>35</v>
      </c>
      <c r="C23" s="19" t="s">
        <v>154</v>
      </c>
      <c r="D23" s="23" t="s">
        <v>35</v>
      </c>
      <c r="E23" s="19"/>
      <c r="F23" s="21" t="s">
        <v>155</v>
      </c>
      <c r="G23" s="21" t="s">
        <v>156</v>
      </c>
      <c r="H23" s="19" t="s">
        <v>157</v>
      </c>
      <c r="I23" s="22"/>
      <c r="J23" s="19"/>
      <c r="K23" s="2"/>
    </row>
    <row r="24" customFormat="false" ht="57.75" hidden="false" customHeight="true" outlineLevel="0" collapsed="false">
      <c r="A24" s="17" t="s">
        <v>158</v>
      </c>
      <c r="B24" s="18" t="s">
        <v>35</v>
      </c>
      <c r="C24" s="19" t="s">
        <v>159</v>
      </c>
      <c r="D24" s="23" t="s">
        <v>35</v>
      </c>
      <c r="E24" s="19"/>
      <c r="F24" s="21" t="s">
        <v>160</v>
      </c>
      <c r="G24" s="21" t="s">
        <v>161</v>
      </c>
      <c r="H24" s="19" t="s">
        <v>162</v>
      </c>
      <c r="I24" s="22"/>
      <c r="J24" s="19"/>
      <c r="K24" s="2"/>
    </row>
    <row r="25" customFormat="false" ht="57.75" hidden="false" customHeight="true" outlineLevel="0" collapsed="false">
      <c r="A25" s="17" t="s">
        <v>163</v>
      </c>
      <c r="B25" s="18" t="s">
        <v>35</v>
      </c>
      <c r="C25" s="19" t="s">
        <v>164</v>
      </c>
      <c r="D25" s="23" t="s">
        <v>35</v>
      </c>
      <c r="E25" s="19"/>
      <c r="F25" s="21" t="s">
        <v>165</v>
      </c>
      <c r="G25" s="21" t="s">
        <v>166</v>
      </c>
      <c r="H25" s="19" t="s">
        <v>167</v>
      </c>
      <c r="I25" s="22"/>
      <c r="J25" s="19"/>
      <c r="K25" s="2"/>
    </row>
    <row r="26" customFormat="false" ht="57.75" hidden="false" customHeight="true" outlineLevel="0" collapsed="false">
      <c r="A26" s="17" t="s">
        <v>168</v>
      </c>
      <c r="B26" s="18" t="s">
        <v>35</v>
      </c>
      <c r="C26" s="19" t="s">
        <v>169</v>
      </c>
      <c r="D26" s="23" t="s">
        <v>35</v>
      </c>
      <c r="E26" s="19"/>
      <c r="F26" s="21" t="s">
        <v>170</v>
      </c>
      <c r="G26" s="21" t="s">
        <v>171</v>
      </c>
      <c r="H26" s="19" t="s">
        <v>172</v>
      </c>
      <c r="I26" s="22"/>
      <c r="J26" s="19"/>
      <c r="K26" s="2"/>
    </row>
    <row r="27" customFormat="false" ht="57.75" hidden="false" customHeight="true" outlineLevel="0" collapsed="false">
      <c r="A27" s="17" t="s">
        <v>173</v>
      </c>
      <c r="B27" s="18" t="s">
        <v>35</v>
      </c>
      <c r="C27" s="19" t="s">
        <v>174</v>
      </c>
      <c r="D27" s="23" t="s">
        <v>35</v>
      </c>
      <c r="E27" s="19"/>
      <c r="F27" s="21" t="s">
        <v>175</v>
      </c>
      <c r="G27" s="21" t="s">
        <v>176</v>
      </c>
      <c r="H27" s="19" t="s">
        <v>177</v>
      </c>
      <c r="I27" s="22"/>
      <c r="J27" s="19"/>
      <c r="K27" s="2"/>
    </row>
    <row r="28" customFormat="false" ht="57.75" hidden="false" customHeight="true" outlineLevel="0" collapsed="false">
      <c r="A28" s="17" t="s">
        <v>178</v>
      </c>
      <c r="B28" s="18" t="s">
        <v>35</v>
      </c>
      <c r="C28" s="19" t="s">
        <v>179</v>
      </c>
      <c r="D28" s="23" t="s">
        <v>35</v>
      </c>
      <c r="E28" s="19"/>
      <c r="F28" s="21" t="s">
        <v>180</v>
      </c>
      <c r="G28" s="21" t="s">
        <v>181</v>
      </c>
      <c r="H28" s="19" t="s">
        <v>182</v>
      </c>
      <c r="I28" s="22"/>
      <c r="J28" s="19"/>
      <c r="K28" s="2"/>
    </row>
    <row r="29" customFormat="false" ht="57.75" hidden="false" customHeight="true" outlineLevel="0" collapsed="false">
      <c r="A29" s="17" t="s">
        <v>183</v>
      </c>
      <c r="B29" s="18" t="s">
        <v>35</v>
      </c>
      <c r="C29" s="19" t="s">
        <v>184</v>
      </c>
      <c r="D29" s="23" t="s">
        <v>35</v>
      </c>
      <c r="E29" s="19"/>
      <c r="F29" s="21" t="s">
        <v>185</v>
      </c>
      <c r="G29" s="21" t="s">
        <v>186</v>
      </c>
      <c r="H29" s="19" t="s">
        <v>187</v>
      </c>
      <c r="I29" s="22"/>
      <c r="J29" s="19"/>
      <c r="K29" s="2"/>
    </row>
    <row r="30" customFormat="false" ht="57.75" hidden="false" customHeight="true" outlineLevel="0" collapsed="false">
      <c r="A30" s="17" t="s">
        <v>188</v>
      </c>
      <c r="B30" s="18" t="s">
        <v>35</v>
      </c>
      <c r="C30" s="19" t="s">
        <v>189</v>
      </c>
      <c r="D30" s="23" t="s">
        <v>35</v>
      </c>
      <c r="E30" s="19"/>
      <c r="F30" s="21" t="s">
        <v>190</v>
      </c>
      <c r="G30" s="21" t="s">
        <v>191</v>
      </c>
      <c r="H30" s="19" t="s">
        <v>192</v>
      </c>
      <c r="I30" s="22"/>
      <c r="J30" s="19"/>
      <c r="K30" s="2"/>
    </row>
    <row r="31" customFormat="false" ht="57.75" hidden="false" customHeight="true" outlineLevel="0" collapsed="false">
      <c r="A31" s="17" t="s">
        <v>193</v>
      </c>
      <c r="B31" s="18" t="s">
        <v>35</v>
      </c>
      <c r="C31" s="19" t="s">
        <v>194</v>
      </c>
      <c r="D31" s="23" t="s">
        <v>35</v>
      </c>
      <c r="E31" s="19"/>
      <c r="F31" s="21" t="s">
        <v>195</v>
      </c>
      <c r="G31" s="21" t="s">
        <v>196</v>
      </c>
      <c r="H31" s="19" t="s">
        <v>197</v>
      </c>
      <c r="I31" s="22"/>
      <c r="J31" s="19"/>
      <c r="K31" s="2"/>
    </row>
    <row r="32" customFormat="false" ht="57.75" hidden="false" customHeight="true" outlineLevel="0" collapsed="false">
      <c r="A32" s="24" t="s">
        <v>198</v>
      </c>
      <c r="B32" s="25" t="s">
        <v>199</v>
      </c>
      <c r="C32" s="26" t="s">
        <v>200</v>
      </c>
      <c r="D32" s="20" t="s">
        <v>25</v>
      </c>
      <c r="E32" s="26"/>
      <c r="F32" s="21" t="s">
        <v>201</v>
      </c>
      <c r="G32" s="21" t="s">
        <v>202</v>
      </c>
      <c r="H32" s="26" t="s">
        <v>203</v>
      </c>
      <c r="I32" s="27"/>
      <c r="J32" s="26"/>
      <c r="K32" s="2"/>
    </row>
    <row r="33" customFormat="false" ht="57.75" hidden="false" customHeight="true" outlineLevel="0" collapsed="false">
      <c r="A33" s="24" t="s">
        <v>204</v>
      </c>
      <c r="B33" s="25" t="s">
        <v>199</v>
      </c>
      <c r="C33" s="26" t="s">
        <v>205</v>
      </c>
      <c r="D33" s="20" t="s">
        <v>25</v>
      </c>
      <c r="E33" s="26"/>
      <c r="F33" s="21" t="s">
        <v>206</v>
      </c>
      <c r="G33" s="21" t="s">
        <v>207</v>
      </c>
      <c r="H33" s="26" t="s">
        <v>208</v>
      </c>
      <c r="I33" s="27"/>
      <c r="J33" s="26"/>
      <c r="K33" s="2"/>
    </row>
    <row r="34" customFormat="false" ht="57.75" hidden="false" customHeight="true" outlineLevel="0" collapsed="false">
      <c r="A34" s="24" t="s">
        <v>209</v>
      </c>
      <c r="B34" s="25" t="s">
        <v>199</v>
      </c>
      <c r="C34" s="26" t="s">
        <v>210</v>
      </c>
      <c r="D34" s="20" t="s">
        <v>27</v>
      </c>
      <c r="E34" s="26"/>
      <c r="F34" s="21" t="s">
        <v>211</v>
      </c>
      <c r="G34" s="21" t="s">
        <v>212</v>
      </c>
      <c r="H34" s="26" t="s">
        <v>213</v>
      </c>
      <c r="I34" s="27"/>
      <c r="J34" s="26"/>
      <c r="K34" s="2"/>
    </row>
    <row r="35" customFormat="false" ht="57.75" hidden="false" customHeight="true" outlineLevel="0" collapsed="false">
      <c r="A35" s="24" t="s">
        <v>214</v>
      </c>
      <c r="B35" s="25" t="s">
        <v>199</v>
      </c>
      <c r="C35" s="26" t="s">
        <v>215</v>
      </c>
      <c r="D35" s="20" t="s">
        <v>27</v>
      </c>
      <c r="E35" s="26"/>
      <c r="F35" s="21" t="s">
        <v>216</v>
      </c>
      <c r="G35" s="21" t="s">
        <v>217</v>
      </c>
      <c r="H35" s="26" t="s">
        <v>218</v>
      </c>
      <c r="I35" s="27"/>
      <c r="J35" s="26"/>
      <c r="K35" s="2"/>
    </row>
    <row r="36" customFormat="false" ht="57.75" hidden="false" customHeight="true" outlineLevel="0" collapsed="false">
      <c r="A36" s="24" t="s">
        <v>219</v>
      </c>
      <c r="B36" s="25" t="s">
        <v>199</v>
      </c>
      <c r="C36" s="26" t="s">
        <v>220</v>
      </c>
      <c r="D36" s="20" t="s">
        <v>25</v>
      </c>
      <c r="E36" s="26"/>
      <c r="F36" s="21" t="s">
        <v>221</v>
      </c>
      <c r="G36" s="21" t="s">
        <v>222</v>
      </c>
      <c r="H36" s="26" t="s">
        <v>223</v>
      </c>
      <c r="I36" s="27"/>
      <c r="J36" s="26"/>
      <c r="K36" s="2"/>
    </row>
    <row r="37" customFormat="false" ht="57.75" hidden="false" customHeight="true" outlineLevel="0" collapsed="false">
      <c r="A37" s="24" t="s">
        <v>224</v>
      </c>
      <c r="B37" s="25" t="s">
        <v>199</v>
      </c>
      <c r="C37" s="26" t="s">
        <v>225</v>
      </c>
      <c r="D37" s="20" t="s">
        <v>25</v>
      </c>
      <c r="E37" s="26"/>
      <c r="F37" s="21" t="s">
        <v>226</v>
      </c>
      <c r="G37" s="21" t="s">
        <v>227</v>
      </c>
      <c r="H37" s="26" t="s">
        <v>228</v>
      </c>
      <c r="I37" s="27"/>
      <c r="J37" s="26"/>
      <c r="K37" s="2"/>
    </row>
    <row r="38" customFormat="false" ht="57.75" hidden="false" customHeight="true" outlineLevel="0" collapsed="false">
      <c r="A38" s="24" t="s">
        <v>229</v>
      </c>
      <c r="B38" s="25" t="s">
        <v>199</v>
      </c>
      <c r="C38" s="26" t="s">
        <v>230</v>
      </c>
      <c r="D38" s="20" t="s">
        <v>27</v>
      </c>
      <c r="E38" s="26"/>
      <c r="F38" s="21" t="s">
        <v>231</v>
      </c>
      <c r="G38" s="21" t="s">
        <v>232</v>
      </c>
      <c r="H38" s="26" t="s">
        <v>233</v>
      </c>
      <c r="I38" s="27"/>
      <c r="J38" s="26"/>
      <c r="K38" s="2"/>
    </row>
    <row r="39" customFormat="false" ht="57.75" hidden="false" customHeight="true" outlineLevel="0" collapsed="false">
      <c r="A39" s="24" t="s">
        <v>234</v>
      </c>
      <c r="B39" s="25" t="s">
        <v>199</v>
      </c>
      <c r="C39" s="26" t="s">
        <v>235</v>
      </c>
      <c r="D39" s="20" t="s">
        <v>27</v>
      </c>
      <c r="E39" s="26"/>
      <c r="F39" s="21" t="s">
        <v>236</v>
      </c>
      <c r="G39" s="21" t="s">
        <v>237</v>
      </c>
      <c r="H39" s="26" t="s">
        <v>238</v>
      </c>
      <c r="I39" s="27"/>
      <c r="J39" s="26"/>
      <c r="K39" s="2"/>
    </row>
    <row r="40" customFormat="false" ht="57.75" hidden="false" customHeight="true" outlineLevel="0" collapsed="false">
      <c r="A40" s="24" t="s">
        <v>239</v>
      </c>
      <c r="B40" s="25" t="s">
        <v>199</v>
      </c>
      <c r="C40" s="26" t="s">
        <v>240</v>
      </c>
      <c r="D40" s="23" t="s">
        <v>35</v>
      </c>
      <c r="E40" s="26"/>
      <c r="F40" s="21" t="s">
        <v>241</v>
      </c>
      <c r="G40" s="21" t="s">
        <v>242</v>
      </c>
      <c r="H40" s="26" t="s">
        <v>243</v>
      </c>
      <c r="I40" s="27"/>
      <c r="J40" s="26"/>
      <c r="K40" s="2"/>
    </row>
    <row r="41" customFormat="false" ht="57.75" hidden="false" customHeight="true" outlineLevel="0" collapsed="false">
      <c r="A41" s="24" t="s">
        <v>244</v>
      </c>
      <c r="B41" s="25" t="s">
        <v>199</v>
      </c>
      <c r="C41" s="26" t="s">
        <v>245</v>
      </c>
      <c r="D41" s="20" t="s">
        <v>27</v>
      </c>
      <c r="E41" s="26"/>
      <c r="F41" s="21" t="s">
        <v>246</v>
      </c>
      <c r="G41" s="21" t="s">
        <v>247</v>
      </c>
      <c r="H41" s="26" t="s">
        <v>248</v>
      </c>
      <c r="I41" s="27"/>
      <c r="J41" s="26"/>
      <c r="K41" s="2"/>
    </row>
    <row r="42" customFormat="false" ht="57.75" hidden="false" customHeight="true" outlineLevel="0" collapsed="false">
      <c r="A42" s="17" t="s">
        <v>249</v>
      </c>
      <c r="B42" s="18" t="s">
        <v>250</v>
      </c>
      <c r="C42" s="19" t="s">
        <v>251</v>
      </c>
      <c r="D42" s="20" t="s">
        <v>31</v>
      </c>
      <c r="E42" s="19"/>
      <c r="F42" s="21" t="s">
        <v>252</v>
      </c>
      <c r="G42" s="21" t="s">
        <v>253</v>
      </c>
      <c r="H42" s="19" t="s">
        <v>254</v>
      </c>
      <c r="I42" s="22"/>
      <c r="J42" s="19"/>
      <c r="K42" s="2"/>
    </row>
    <row r="43" customFormat="false" ht="57.75" hidden="false" customHeight="true" outlineLevel="0" collapsed="false">
      <c r="A43" s="17" t="s">
        <v>255</v>
      </c>
      <c r="B43" s="18" t="s">
        <v>250</v>
      </c>
      <c r="C43" s="19" t="s">
        <v>256</v>
      </c>
      <c r="D43" s="20" t="s">
        <v>31</v>
      </c>
      <c r="E43" s="19"/>
      <c r="F43" s="21" t="s">
        <v>257</v>
      </c>
      <c r="G43" s="21" t="s">
        <v>258</v>
      </c>
      <c r="H43" s="19" t="s">
        <v>259</v>
      </c>
      <c r="I43" s="22"/>
      <c r="J43" s="19"/>
      <c r="K43" s="2"/>
    </row>
    <row r="44" customFormat="false" ht="57.75" hidden="false" customHeight="true" outlineLevel="0" collapsed="false">
      <c r="A44" s="17" t="s">
        <v>260</v>
      </c>
      <c r="B44" s="18" t="s">
        <v>250</v>
      </c>
      <c r="C44" s="19" t="s">
        <v>261</v>
      </c>
      <c r="D44" s="20" t="s">
        <v>31</v>
      </c>
      <c r="E44" s="19"/>
      <c r="F44" s="21" t="s">
        <v>262</v>
      </c>
      <c r="G44" s="21" t="s">
        <v>263</v>
      </c>
      <c r="H44" s="19" t="s">
        <v>264</v>
      </c>
      <c r="I44" s="22"/>
      <c r="J44" s="19"/>
      <c r="K44" s="2"/>
    </row>
    <row r="45" customFormat="false" ht="57.75" hidden="false" customHeight="true" outlineLevel="0" collapsed="false">
      <c r="A45" s="17" t="s">
        <v>265</v>
      </c>
      <c r="B45" s="18" t="s">
        <v>250</v>
      </c>
      <c r="C45" s="19" t="s">
        <v>266</v>
      </c>
      <c r="D45" s="20" t="s">
        <v>31</v>
      </c>
      <c r="E45" s="19"/>
      <c r="F45" s="21" t="s">
        <v>267</v>
      </c>
      <c r="G45" s="21" t="s">
        <v>268</v>
      </c>
      <c r="H45" s="19" t="s">
        <v>269</v>
      </c>
      <c r="I45" s="22"/>
      <c r="J45" s="19"/>
      <c r="K45" s="2"/>
    </row>
    <row r="46" customFormat="false" ht="57.75" hidden="false" customHeight="true" outlineLevel="0" collapsed="false">
      <c r="A46" s="17" t="s">
        <v>270</v>
      </c>
      <c r="B46" s="18" t="s">
        <v>250</v>
      </c>
      <c r="C46" s="19" t="s">
        <v>271</v>
      </c>
      <c r="D46" s="20" t="s">
        <v>31</v>
      </c>
      <c r="E46" s="19"/>
      <c r="F46" s="21" t="s">
        <v>272</v>
      </c>
      <c r="G46" s="21" t="s">
        <v>273</v>
      </c>
      <c r="H46" s="19" t="s">
        <v>274</v>
      </c>
      <c r="I46" s="22"/>
      <c r="J46" s="19"/>
      <c r="K46" s="2"/>
    </row>
    <row r="47" customFormat="false" ht="57.75" hidden="false" customHeight="true" outlineLevel="0" collapsed="false">
      <c r="A47" s="17" t="s">
        <v>275</v>
      </c>
      <c r="B47" s="18" t="s">
        <v>250</v>
      </c>
      <c r="C47" s="19" t="s">
        <v>276</v>
      </c>
      <c r="D47" s="20" t="s">
        <v>31</v>
      </c>
      <c r="E47" s="19"/>
      <c r="F47" s="21" t="s">
        <v>277</v>
      </c>
      <c r="G47" s="21" t="s">
        <v>278</v>
      </c>
      <c r="H47" s="19" t="s">
        <v>279</v>
      </c>
      <c r="I47" s="22"/>
      <c r="J47" s="19"/>
      <c r="K47" s="2"/>
    </row>
    <row r="48" customFormat="false" ht="57.75" hidden="false" customHeight="true" outlineLevel="0" collapsed="false">
      <c r="A48" s="17" t="s">
        <v>280</v>
      </c>
      <c r="B48" s="18" t="s">
        <v>250</v>
      </c>
      <c r="C48" s="19" t="s">
        <v>281</v>
      </c>
      <c r="D48" s="20" t="s">
        <v>31</v>
      </c>
      <c r="E48" s="19"/>
      <c r="F48" s="21" t="s">
        <v>282</v>
      </c>
      <c r="G48" s="21" t="s">
        <v>283</v>
      </c>
      <c r="H48" s="19" t="s">
        <v>284</v>
      </c>
      <c r="I48" s="22"/>
      <c r="J48" s="19"/>
      <c r="K48" s="2"/>
    </row>
    <row r="49" customFormat="false" ht="57.75" hidden="false" customHeight="true" outlineLevel="0" collapsed="false">
      <c r="A49" s="17" t="s">
        <v>285</v>
      </c>
      <c r="B49" s="18" t="s">
        <v>250</v>
      </c>
      <c r="C49" s="19" t="s">
        <v>286</v>
      </c>
      <c r="D49" s="20" t="s">
        <v>31</v>
      </c>
      <c r="E49" s="19"/>
      <c r="F49" s="21" t="s">
        <v>287</v>
      </c>
      <c r="G49" s="21" t="s">
        <v>288</v>
      </c>
      <c r="H49" s="19" t="s">
        <v>289</v>
      </c>
      <c r="I49" s="22"/>
      <c r="J49" s="19"/>
      <c r="K49" s="2"/>
    </row>
    <row r="50" customFormat="false" ht="57.75" hidden="false" customHeight="true" outlineLevel="0" collapsed="false">
      <c r="A50" s="17" t="s">
        <v>290</v>
      </c>
      <c r="B50" s="18" t="s">
        <v>250</v>
      </c>
      <c r="C50" s="19" t="s">
        <v>291</v>
      </c>
      <c r="D50" s="20" t="s">
        <v>31</v>
      </c>
      <c r="E50" s="19"/>
      <c r="F50" s="21" t="s">
        <v>292</v>
      </c>
      <c r="G50" s="21" t="s">
        <v>293</v>
      </c>
      <c r="H50" s="19" t="s">
        <v>294</v>
      </c>
      <c r="I50" s="22"/>
      <c r="J50" s="19"/>
      <c r="K50" s="2"/>
    </row>
    <row r="51" customFormat="false" ht="57.75" hidden="false" customHeight="true" outlineLevel="0" collapsed="false">
      <c r="A51" s="17" t="s">
        <v>295</v>
      </c>
      <c r="B51" s="18" t="s">
        <v>250</v>
      </c>
      <c r="C51" s="19" t="s">
        <v>296</v>
      </c>
      <c r="D51" s="20" t="s">
        <v>31</v>
      </c>
      <c r="E51" s="19"/>
      <c r="F51" s="21" t="s">
        <v>297</v>
      </c>
      <c r="G51" s="21" t="s">
        <v>298</v>
      </c>
      <c r="H51" s="19" t="s">
        <v>299</v>
      </c>
      <c r="I51" s="22"/>
      <c r="J51" s="19"/>
      <c r="K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</sheetData>
  <conditionalFormatting sqref="I2:I51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"Latent"</formula>
    </cfRule>
    <cfRule type="cellIs" priority="4" operator="equal" aboveAverage="0" equalAverage="0" bottom="0" percent="0" rank="0" text="" dxfId="2">
      <formula>"Collapsed"</formula>
    </cfRule>
    <cfRule type="cellIs" priority="5" operator="equal" aboveAverage="0" equalAverage="0" bottom="0" percent="0" rank="0" text="" dxfId="3">
      <formula>"Inactive (N/A)"</formula>
    </cfRule>
  </conditionalFormatting>
  <dataValidations count="1">
    <dataValidation allowBlank="true" error="Choose one of the four status values" errorStyle="stop" errorTitle="Invalid status" operator="between" prompt="Active = telemetry present and queryable. Latent = specified but not yet emitted. Collapsed = covered by another invariant's telemetry. Inactive (N/A) = no surface." promptTitle="Invariant Status" showDropDown="false" showErrorMessage="false" showInputMessage="false" sqref="I2:I51" type="list">
      <formula1>"Active,Latent,Collapsed,Inactive (N/A)"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5" min="3" style="1" width="14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"/>
      <c r="B2" s="3" t="s">
        <v>300</v>
      </c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"/>
      <c r="B3" s="28" t="s">
        <v>1</v>
      </c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"/>
      <c r="B4" s="29" t="s">
        <v>301</v>
      </c>
      <c r="C4" s="2"/>
      <c r="D4" s="2"/>
      <c r="E4" s="2"/>
      <c r="F4" s="2"/>
      <c r="G4" s="2"/>
      <c r="H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9.5" hidden="false" customHeight="true" outlineLevel="0" collapsed="false">
      <c r="A6" s="2"/>
      <c r="B6" s="30" t="s">
        <v>302</v>
      </c>
      <c r="C6" s="12" t="s">
        <v>38</v>
      </c>
      <c r="D6" s="13" t="s">
        <v>40</v>
      </c>
      <c r="E6" s="14" t="s">
        <v>42</v>
      </c>
      <c r="F6" s="15" t="s">
        <v>44</v>
      </c>
      <c r="G6" s="2"/>
      <c r="H6" s="2"/>
    </row>
    <row r="7" customFormat="false" ht="43.5" hidden="false" customHeight="true" outlineLevel="0" collapsed="false">
      <c r="A7" s="2"/>
      <c r="B7" s="31" t="n">
        <f aca="false">COUNTA('IAT Invariants'!A2:A51)</f>
        <v>50</v>
      </c>
      <c r="C7" s="32" t="n">
        <f aca="false">COUNTIF('IAT Invariants'!I2:I51,"Active")</f>
        <v>0</v>
      </c>
      <c r="D7" s="33" t="n">
        <f aca="false">COUNTIF('IAT Invariants'!I2:I51,"Latent")</f>
        <v>0</v>
      </c>
      <c r="E7" s="34" t="n">
        <f aca="false">COUNTIF('IAT Invariants'!I2:I51,"Collapsed")</f>
        <v>0</v>
      </c>
      <c r="F7" s="35" t="n">
        <f aca="false">COUNTIF('IAT Invariants'!I2:I51,"Inactive (N/A)")</f>
        <v>0</v>
      </c>
      <c r="G7" s="2"/>
      <c r="H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true" outlineLevel="0" collapsed="false">
      <c r="A10" s="2"/>
      <c r="B10" s="6" t="s">
        <v>303</v>
      </c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2"/>
      <c r="B11" s="36" t="s">
        <v>10</v>
      </c>
      <c r="C11" s="36" t="s">
        <v>38</v>
      </c>
      <c r="D11" s="36" t="s">
        <v>40</v>
      </c>
      <c r="E11" s="36" t="s">
        <v>42</v>
      </c>
      <c r="F11" s="36" t="s">
        <v>44</v>
      </c>
      <c r="G11" s="36" t="s">
        <v>302</v>
      </c>
      <c r="H11" s="2"/>
    </row>
    <row r="12" customFormat="false" ht="25.5" hidden="false" customHeight="true" outlineLevel="0" collapsed="false">
      <c r="A12" s="2"/>
      <c r="B12" s="37" t="s">
        <v>25</v>
      </c>
      <c r="C12" s="38" t="n">
        <f aca="false">COUNTIFS('IAT Invariants'!D:D,"User",'IAT Invariants'!I:I,"Active")</f>
        <v>0</v>
      </c>
      <c r="D12" s="39" t="n">
        <f aca="false">COUNTIFS('IAT Invariants'!D:D,"User",'IAT Invariants'!I:I,"Latent")</f>
        <v>0</v>
      </c>
      <c r="E12" s="40" t="n">
        <f aca="false">COUNTIFS('IAT Invariants'!D:D,"User",'IAT Invariants'!I:I,"Collapsed")</f>
        <v>0</v>
      </c>
      <c r="F12" s="41" t="n">
        <f aca="false">COUNTIFS('IAT Invariants'!D:D,"User",'IAT Invariants'!I:I,"Inactive (N/A)")</f>
        <v>0</v>
      </c>
      <c r="G12" s="42" t="n">
        <f aca="false">COUNTIF('IAT Invariants'!D:D,"User")</f>
        <v>10</v>
      </c>
      <c r="H12" s="2"/>
    </row>
    <row r="13" customFormat="false" ht="25.5" hidden="false" customHeight="true" outlineLevel="0" collapsed="false">
      <c r="A13" s="2"/>
      <c r="B13" s="37" t="s">
        <v>27</v>
      </c>
      <c r="C13" s="38" t="n">
        <f aca="false">COUNTIFS('IAT Invariants'!D:D,"Interaction",'IAT Invariants'!I:I,"Active")</f>
        <v>0</v>
      </c>
      <c r="D13" s="39" t="n">
        <f aca="false">COUNTIFS('IAT Invariants'!D:D,"Interaction",'IAT Invariants'!I:I,"Latent")</f>
        <v>0</v>
      </c>
      <c r="E13" s="40" t="n">
        <f aca="false">COUNTIFS('IAT Invariants'!D:D,"Interaction",'IAT Invariants'!I:I,"Collapsed")</f>
        <v>0</v>
      </c>
      <c r="F13" s="41" t="n">
        <f aca="false">COUNTIFS('IAT Invariants'!D:D,"Interaction",'IAT Invariants'!I:I,"Inactive (N/A)")</f>
        <v>0</v>
      </c>
      <c r="G13" s="42" t="n">
        <f aca="false">COUNTIF('IAT Invariants'!D:D,"Interaction")</f>
        <v>8</v>
      </c>
      <c r="H13" s="2"/>
    </row>
    <row r="14" customFormat="false" ht="25.5" hidden="false" customHeight="true" outlineLevel="0" collapsed="false">
      <c r="A14" s="2"/>
      <c r="B14" s="37" t="s">
        <v>29</v>
      </c>
      <c r="C14" s="38" t="n">
        <f aca="false">COUNTIFS('IAT Invariants'!D:D,"Environment",'IAT Invariants'!I:I,"Active")</f>
        <v>0</v>
      </c>
      <c r="D14" s="39" t="n">
        <f aca="false">COUNTIFS('IAT Invariants'!D:D,"Environment",'IAT Invariants'!I:I,"Latent")</f>
        <v>0</v>
      </c>
      <c r="E14" s="40" t="n">
        <f aca="false">COUNTIFS('IAT Invariants'!D:D,"Environment",'IAT Invariants'!I:I,"Collapsed")</f>
        <v>0</v>
      </c>
      <c r="F14" s="41" t="n">
        <f aca="false">COUNTIFS('IAT Invariants'!D:D,"Environment",'IAT Invariants'!I:I,"Inactive (N/A)")</f>
        <v>0</v>
      </c>
      <c r="G14" s="42" t="n">
        <f aca="false">COUNTIF('IAT Invariants'!D:D,"Environment")</f>
        <v>5</v>
      </c>
      <c r="H14" s="2"/>
    </row>
    <row r="15" customFormat="false" ht="25.5" hidden="false" customHeight="true" outlineLevel="0" collapsed="false">
      <c r="A15" s="2"/>
      <c r="B15" s="37" t="s">
        <v>31</v>
      </c>
      <c r="C15" s="38" t="n">
        <f aca="false">COUNTIFS('IAT Invariants'!D:D,"Value",'IAT Invariants'!I:I,"Active")</f>
        <v>0</v>
      </c>
      <c r="D15" s="39" t="n">
        <f aca="false">COUNTIFS('IAT Invariants'!D:D,"Value",'IAT Invariants'!I:I,"Latent")</f>
        <v>0</v>
      </c>
      <c r="E15" s="40" t="n">
        <f aca="false">COUNTIFS('IAT Invariants'!D:D,"Value",'IAT Invariants'!I:I,"Collapsed")</f>
        <v>0</v>
      </c>
      <c r="F15" s="41" t="n">
        <f aca="false">COUNTIFS('IAT Invariants'!D:D,"Value",'IAT Invariants'!I:I,"Inactive (N/A)")</f>
        <v>0</v>
      </c>
      <c r="G15" s="42" t="n">
        <f aca="false">COUNTIF('IAT Invariants'!D:D,"Value")</f>
        <v>10</v>
      </c>
      <c r="H15" s="2"/>
    </row>
    <row r="16" customFormat="false" ht="25.5" hidden="false" customHeight="true" outlineLevel="0" collapsed="false">
      <c r="A16" s="2"/>
      <c r="B16" s="37" t="s">
        <v>33</v>
      </c>
      <c r="C16" s="38" t="n">
        <f aca="false">COUNTIFS('IAT Invariants'!D:D,"Content",'IAT Invariants'!I:I,"Active")</f>
        <v>0</v>
      </c>
      <c r="D16" s="39" t="n">
        <f aca="false">COUNTIFS('IAT Invariants'!D:D,"Content",'IAT Invariants'!I:I,"Latent")</f>
        <v>0</v>
      </c>
      <c r="E16" s="40" t="n">
        <f aca="false">COUNTIFS('IAT Invariants'!D:D,"Content",'IAT Invariants'!I:I,"Collapsed")</f>
        <v>0</v>
      </c>
      <c r="F16" s="41" t="n">
        <f aca="false">COUNTIFS('IAT Invariants'!D:D,"Content",'IAT Invariants'!I:I,"Inactive (N/A)")</f>
        <v>0</v>
      </c>
      <c r="G16" s="42" t="n">
        <f aca="false">COUNTIF('IAT Invariants'!D:D,"Content")</f>
        <v>2</v>
      </c>
      <c r="H16" s="2"/>
    </row>
    <row r="17" customFormat="false" ht="25.5" hidden="false" customHeight="true" outlineLevel="0" collapsed="false">
      <c r="A17" s="2"/>
      <c r="B17" s="43" t="s">
        <v>35</v>
      </c>
      <c r="C17" s="38" t="n">
        <f aca="false">COUNTIFS('IAT Invariants'!D:D,"Operations",'IAT Invariants'!I:I,"Active")</f>
        <v>0</v>
      </c>
      <c r="D17" s="39" t="n">
        <f aca="false">COUNTIFS('IAT Invariants'!D:D,"Operations",'IAT Invariants'!I:I,"Latent")</f>
        <v>0</v>
      </c>
      <c r="E17" s="40" t="n">
        <f aca="false">COUNTIFS('IAT Invariants'!D:D,"Operations",'IAT Invariants'!I:I,"Collapsed")</f>
        <v>0</v>
      </c>
      <c r="F17" s="41" t="n">
        <f aca="false">COUNTIFS('IAT Invariants'!D:D,"Operations",'IAT Invariants'!I:I,"Inactive (N/A)")</f>
        <v>0</v>
      </c>
      <c r="G17" s="42" t="n">
        <f aca="false">COUNTIF('IAT Invariants'!D:D,"Operations")</f>
        <v>15</v>
      </c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6" t="s">
        <v>304</v>
      </c>
      <c r="C20" s="2"/>
      <c r="D20" s="2"/>
      <c r="E20" s="2"/>
      <c r="F20" s="2"/>
      <c r="G20" s="2"/>
      <c r="H20" s="2"/>
    </row>
    <row r="21" customFormat="false" ht="21.75" hidden="false" customHeight="true" outlineLevel="0" collapsed="false">
      <c r="A21" s="2"/>
      <c r="B21" s="36" t="s">
        <v>6</v>
      </c>
      <c r="C21" s="36" t="s">
        <v>38</v>
      </c>
      <c r="D21" s="36" t="s">
        <v>40</v>
      </c>
      <c r="E21" s="36" t="s">
        <v>42</v>
      </c>
      <c r="F21" s="36" t="s">
        <v>44</v>
      </c>
      <c r="G21" s="36" t="s">
        <v>302</v>
      </c>
      <c r="H21" s="2"/>
    </row>
    <row r="22" customFormat="false" ht="25.5" hidden="false" customHeight="true" outlineLevel="0" collapsed="false">
      <c r="A22" s="2"/>
      <c r="B22" s="44" t="s">
        <v>47</v>
      </c>
      <c r="C22" s="38" t="n">
        <f aca="false">COUNTIFS('IAT Invariants'!B:B,"Gameplay",'IAT Invariants'!I:I,"Active")</f>
        <v>0</v>
      </c>
      <c r="D22" s="39" t="n">
        <f aca="false">COUNTIFS('IAT Invariants'!B:B,"Gameplay",'IAT Invariants'!I:I,"Latent")</f>
        <v>0</v>
      </c>
      <c r="E22" s="40" t="n">
        <f aca="false">COUNTIFS('IAT Invariants'!B:B,"Gameplay",'IAT Invariants'!I:I,"Collapsed")</f>
        <v>0</v>
      </c>
      <c r="F22" s="41" t="n">
        <f aca="false">COUNTIFS('IAT Invariants'!B:B,"Gameplay",'IAT Invariants'!I:I,"Inactive (N/A)")</f>
        <v>0</v>
      </c>
      <c r="G22" s="42" t="n">
        <f aca="false">COUNTIF('IAT Invariants'!B:B,"Gameplay")</f>
        <v>10</v>
      </c>
      <c r="H22" s="2"/>
    </row>
    <row r="23" customFormat="false" ht="25.5" hidden="false" customHeight="true" outlineLevel="0" collapsed="false">
      <c r="A23" s="2"/>
      <c r="B23" s="44" t="s">
        <v>98</v>
      </c>
      <c r="C23" s="38" t="n">
        <f aca="false">COUNTIFS('IAT Invariants'!B:B,"Harm &amp; Safety",'IAT Invariants'!I:I,"Active")</f>
        <v>0</v>
      </c>
      <c r="D23" s="39" t="n">
        <f aca="false">COUNTIFS('IAT Invariants'!B:B,"Harm &amp; Safety",'IAT Invariants'!I:I,"Latent")</f>
        <v>0</v>
      </c>
      <c r="E23" s="40" t="n">
        <f aca="false">COUNTIFS('IAT Invariants'!B:B,"Harm &amp; Safety",'IAT Invariants'!I:I,"Collapsed")</f>
        <v>0</v>
      </c>
      <c r="F23" s="41" t="n">
        <f aca="false">COUNTIFS('IAT Invariants'!B:B,"Harm &amp; Safety",'IAT Invariants'!I:I,"Inactive (N/A)")</f>
        <v>0</v>
      </c>
      <c r="G23" s="42" t="n">
        <f aca="false">COUNTIF('IAT Invariants'!B:B,"Harm &amp; Safety")</f>
        <v>10</v>
      </c>
      <c r="H23" s="2"/>
    </row>
    <row r="24" customFormat="false" ht="25.5" hidden="false" customHeight="true" outlineLevel="0" collapsed="false">
      <c r="A24" s="2"/>
      <c r="B24" s="44" t="s">
        <v>35</v>
      </c>
      <c r="C24" s="38" t="n">
        <f aca="false">COUNTIFS('IAT Invariants'!B:B,"Operations",'IAT Invariants'!I:I,"Active")</f>
        <v>0</v>
      </c>
      <c r="D24" s="39" t="n">
        <f aca="false">COUNTIFS('IAT Invariants'!B:B,"Operations",'IAT Invariants'!I:I,"Latent")</f>
        <v>0</v>
      </c>
      <c r="E24" s="40" t="n">
        <f aca="false">COUNTIFS('IAT Invariants'!B:B,"Operations",'IAT Invariants'!I:I,"Collapsed")</f>
        <v>0</v>
      </c>
      <c r="F24" s="41" t="n">
        <f aca="false">COUNTIFS('IAT Invariants'!B:B,"Operations",'IAT Invariants'!I:I,"Inactive (N/A)")</f>
        <v>0</v>
      </c>
      <c r="G24" s="42" t="n">
        <f aca="false">COUNTIF('IAT Invariants'!B:B,"Operations")</f>
        <v>10</v>
      </c>
      <c r="H24" s="2"/>
    </row>
    <row r="25" customFormat="false" ht="25.5" hidden="false" customHeight="true" outlineLevel="0" collapsed="false">
      <c r="A25" s="2"/>
      <c r="B25" s="44" t="s">
        <v>199</v>
      </c>
      <c r="C25" s="38" t="n">
        <f aca="false">COUNTIFS('IAT Invariants'!B:B,"Social Systems",'IAT Invariants'!I:I,"Active")</f>
        <v>0</v>
      </c>
      <c r="D25" s="39" t="n">
        <f aca="false">COUNTIFS('IAT Invariants'!B:B,"Social Systems",'IAT Invariants'!I:I,"Latent")</f>
        <v>0</v>
      </c>
      <c r="E25" s="40" t="n">
        <f aca="false">COUNTIFS('IAT Invariants'!B:B,"Social Systems",'IAT Invariants'!I:I,"Collapsed")</f>
        <v>0</v>
      </c>
      <c r="F25" s="41" t="n">
        <f aca="false">COUNTIFS('IAT Invariants'!B:B,"Social Systems",'IAT Invariants'!I:I,"Inactive (N/A)")</f>
        <v>0</v>
      </c>
      <c r="G25" s="42" t="n">
        <f aca="false">COUNTIF('IAT Invariants'!B:B,"Social Systems")</f>
        <v>10</v>
      </c>
      <c r="H25" s="2"/>
    </row>
    <row r="26" customFormat="false" ht="25.5" hidden="false" customHeight="true" outlineLevel="0" collapsed="false">
      <c r="A26" s="2"/>
      <c r="B26" s="44" t="s">
        <v>250</v>
      </c>
      <c r="C26" s="38" t="n">
        <f aca="false">COUNTIFS('IAT Invariants'!B:B,"Trade &amp; Economy",'IAT Invariants'!I:I,"Active")</f>
        <v>0</v>
      </c>
      <c r="D26" s="39" t="n">
        <f aca="false">COUNTIFS('IAT Invariants'!B:B,"Trade &amp; Economy",'IAT Invariants'!I:I,"Latent")</f>
        <v>0</v>
      </c>
      <c r="E26" s="40" t="n">
        <f aca="false">COUNTIFS('IAT Invariants'!B:B,"Trade &amp; Economy",'IAT Invariants'!I:I,"Collapsed")</f>
        <v>0</v>
      </c>
      <c r="F26" s="41" t="n">
        <f aca="false">COUNTIFS('IAT Invariants'!B:B,"Trade &amp; Economy",'IAT Invariants'!I:I,"Inactive (N/A)")</f>
        <v>0</v>
      </c>
      <c r="G26" s="42" t="n">
        <f aca="false">COUNTIF('IAT Invariants'!B:B,"Trade &amp; Economy")</f>
        <v>10</v>
      </c>
      <c r="H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1" customFormat="false" ht="15" hidden="false" customHeight="false" outlineLevel="0" collapsed="false">
      <c r="B31" s="45" t="s">
        <v>305</v>
      </c>
    </row>
    <row r="32" customFormat="false" ht="19.5" hidden="false" customHeight="true" outlineLevel="0" collapsed="false">
      <c r="B32" s="30" t="s">
        <v>302</v>
      </c>
      <c r="C32" s="12" t="s">
        <v>306</v>
      </c>
      <c r="D32" s="46" t="s">
        <v>307</v>
      </c>
      <c r="E32" s="13" t="s">
        <v>308</v>
      </c>
      <c r="F32" s="15" t="s">
        <v>309</v>
      </c>
    </row>
    <row r="33" customFormat="false" ht="39.75" hidden="false" customHeight="true" outlineLevel="0" collapsed="false">
      <c r="B33" s="47" t="n">
        <f aca="false">COUNTA('Test Traceability'!C2:C151)</f>
        <v>150</v>
      </c>
      <c r="C33" s="48" t="n">
        <f aca="false">COUNTIF('Test Traceability'!F2:F151,"PASS")</f>
        <v>0</v>
      </c>
      <c r="D33" s="49" t="n">
        <f aca="false">COUNTIF('Test Traceability'!F2:F151,"FAIL")</f>
        <v>0</v>
      </c>
      <c r="E33" s="50" t="n">
        <f aca="false">COUNTIF('Test Traceability'!F2:F151,"PENDING")</f>
        <v>0</v>
      </c>
      <c r="F33" s="51" t="n">
        <f aca="false">COUNTIF('Test Traceability'!F2:F151,"N/A")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26"/>
  </cols>
  <sheetData>
    <row r="1" customFormat="false" ht="31.5" hidden="false" customHeight="true" outlineLevel="0" collapsed="false">
      <c r="A1" s="16" t="s">
        <v>310</v>
      </c>
      <c r="B1" s="16" t="s">
        <v>311</v>
      </c>
      <c r="C1" s="16" t="s">
        <v>312</v>
      </c>
      <c r="D1" s="16" t="s">
        <v>313</v>
      </c>
      <c r="E1" s="16" t="s">
        <v>314</v>
      </c>
      <c r="F1" s="16" t="s">
        <v>315</v>
      </c>
      <c r="G1" s="16" t="s">
        <v>316</v>
      </c>
      <c r="H1" s="16" t="s">
        <v>317</v>
      </c>
      <c r="I1" s="52"/>
    </row>
    <row r="2" customFormat="false" ht="36" hidden="false" customHeight="true" outlineLevel="0" collapsed="false">
      <c r="A2" s="17" t="s">
        <v>46</v>
      </c>
      <c r="B2" s="53" t="s">
        <v>318</v>
      </c>
      <c r="C2" s="54" t="s">
        <v>319</v>
      </c>
      <c r="D2" s="55" t="s">
        <v>320</v>
      </c>
      <c r="E2" s="19" t="s">
        <v>321</v>
      </c>
      <c r="F2" s="22"/>
      <c r="G2" s="56" t="s">
        <v>51</v>
      </c>
      <c r="H2" s="57" t="s">
        <v>322</v>
      </c>
      <c r="I2" s="52"/>
    </row>
    <row r="3" customFormat="false" ht="36" hidden="false" customHeight="true" outlineLevel="0" collapsed="false">
      <c r="A3" s="17"/>
      <c r="B3" s="58"/>
      <c r="C3" s="54" t="s">
        <v>323</v>
      </c>
      <c r="D3" s="59" t="s">
        <v>324</v>
      </c>
      <c r="E3" s="19" t="s">
        <v>325</v>
      </c>
      <c r="F3" s="22"/>
      <c r="G3" s="56"/>
      <c r="H3" s="57"/>
      <c r="I3" s="52"/>
    </row>
    <row r="4" customFormat="false" ht="36" hidden="false" customHeight="true" outlineLevel="0" collapsed="false">
      <c r="A4" s="17"/>
      <c r="B4" s="58"/>
      <c r="C4" s="54" t="s">
        <v>326</v>
      </c>
      <c r="D4" s="60" t="s">
        <v>327</v>
      </c>
      <c r="E4" s="19" t="s">
        <v>328</v>
      </c>
      <c r="F4" s="22"/>
      <c r="G4" s="56"/>
      <c r="H4" s="57"/>
      <c r="I4" s="52"/>
    </row>
    <row r="5" customFormat="false" ht="36" hidden="false" customHeight="true" outlineLevel="0" collapsed="false">
      <c r="A5" s="17" t="s">
        <v>52</v>
      </c>
      <c r="B5" s="53" t="s">
        <v>329</v>
      </c>
      <c r="C5" s="54" t="s">
        <v>330</v>
      </c>
      <c r="D5" s="55" t="s">
        <v>320</v>
      </c>
      <c r="E5" s="19" t="s">
        <v>331</v>
      </c>
      <c r="F5" s="22"/>
      <c r="G5" s="56" t="s">
        <v>56</v>
      </c>
      <c r="H5" s="57" t="s">
        <v>322</v>
      </c>
      <c r="I5" s="52"/>
    </row>
    <row r="6" customFormat="false" ht="36" hidden="false" customHeight="true" outlineLevel="0" collapsed="false">
      <c r="A6" s="17"/>
      <c r="B6" s="58"/>
      <c r="C6" s="54" t="s">
        <v>332</v>
      </c>
      <c r="D6" s="59" t="s">
        <v>324</v>
      </c>
      <c r="E6" s="19" t="s">
        <v>333</v>
      </c>
      <c r="F6" s="22"/>
      <c r="G6" s="56"/>
      <c r="H6" s="57"/>
      <c r="I6" s="52"/>
    </row>
    <row r="7" customFormat="false" ht="36" hidden="false" customHeight="true" outlineLevel="0" collapsed="false">
      <c r="A7" s="17"/>
      <c r="B7" s="58"/>
      <c r="C7" s="54" t="s">
        <v>334</v>
      </c>
      <c r="D7" s="60" t="s">
        <v>327</v>
      </c>
      <c r="E7" s="19" t="s">
        <v>335</v>
      </c>
      <c r="F7" s="22"/>
      <c r="G7" s="56"/>
      <c r="H7" s="57"/>
      <c r="I7" s="52"/>
    </row>
    <row r="8" customFormat="false" ht="36" hidden="false" customHeight="true" outlineLevel="0" collapsed="false">
      <c r="A8" s="17" t="s">
        <v>57</v>
      </c>
      <c r="B8" s="53" t="s">
        <v>336</v>
      </c>
      <c r="C8" s="54" t="s">
        <v>337</v>
      </c>
      <c r="D8" s="55" t="s">
        <v>320</v>
      </c>
      <c r="E8" s="19" t="s">
        <v>338</v>
      </c>
      <c r="F8" s="22"/>
      <c r="G8" s="56" t="s">
        <v>61</v>
      </c>
      <c r="H8" s="57" t="s">
        <v>322</v>
      </c>
      <c r="I8" s="52"/>
    </row>
    <row r="9" customFormat="false" ht="36" hidden="false" customHeight="true" outlineLevel="0" collapsed="false">
      <c r="A9" s="17"/>
      <c r="B9" s="58"/>
      <c r="C9" s="54" t="s">
        <v>339</v>
      </c>
      <c r="D9" s="59" t="s">
        <v>324</v>
      </c>
      <c r="E9" s="19" t="s">
        <v>340</v>
      </c>
      <c r="F9" s="22"/>
      <c r="G9" s="56"/>
      <c r="H9" s="57"/>
      <c r="I9" s="52"/>
    </row>
    <row r="10" customFormat="false" ht="36" hidden="false" customHeight="true" outlineLevel="0" collapsed="false">
      <c r="A10" s="17"/>
      <c r="B10" s="58"/>
      <c r="C10" s="54" t="s">
        <v>341</v>
      </c>
      <c r="D10" s="60" t="s">
        <v>327</v>
      </c>
      <c r="E10" s="19" t="s">
        <v>342</v>
      </c>
      <c r="F10" s="22"/>
      <c r="G10" s="56"/>
      <c r="H10" s="57"/>
      <c r="I10" s="52"/>
    </row>
    <row r="11" customFormat="false" ht="36" hidden="false" customHeight="true" outlineLevel="0" collapsed="false">
      <c r="A11" s="17" t="s">
        <v>62</v>
      </c>
      <c r="B11" s="53" t="s">
        <v>343</v>
      </c>
      <c r="C11" s="54" t="s">
        <v>344</v>
      </c>
      <c r="D11" s="55" t="s">
        <v>320</v>
      </c>
      <c r="E11" s="19" t="s">
        <v>345</v>
      </c>
      <c r="F11" s="22"/>
      <c r="G11" s="56" t="s">
        <v>66</v>
      </c>
      <c r="H11" s="57" t="s">
        <v>322</v>
      </c>
      <c r="I11" s="52"/>
    </row>
    <row r="12" customFormat="false" ht="36" hidden="false" customHeight="true" outlineLevel="0" collapsed="false">
      <c r="A12" s="17"/>
      <c r="B12" s="58"/>
      <c r="C12" s="54" t="s">
        <v>346</v>
      </c>
      <c r="D12" s="59" t="s">
        <v>324</v>
      </c>
      <c r="E12" s="19" t="s">
        <v>347</v>
      </c>
      <c r="F12" s="22"/>
      <c r="G12" s="56"/>
      <c r="H12" s="57"/>
      <c r="I12" s="52"/>
    </row>
    <row r="13" customFormat="false" ht="36" hidden="false" customHeight="true" outlineLevel="0" collapsed="false">
      <c r="A13" s="17"/>
      <c r="B13" s="58"/>
      <c r="C13" s="54" t="s">
        <v>348</v>
      </c>
      <c r="D13" s="60" t="s">
        <v>327</v>
      </c>
      <c r="E13" s="19" t="s">
        <v>349</v>
      </c>
      <c r="F13" s="22"/>
      <c r="G13" s="56"/>
      <c r="H13" s="57"/>
      <c r="I13" s="52"/>
    </row>
    <row r="14" customFormat="false" ht="36" hidden="false" customHeight="true" outlineLevel="0" collapsed="false">
      <c r="A14" s="17" t="s">
        <v>67</v>
      </c>
      <c r="B14" s="53" t="s">
        <v>350</v>
      </c>
      <c r="C14" s="54" t="s">
        <v>351</v>
      </c>
      <c r="D14" s="55" t="s">
        <v>320</v>
      </c>
      <c r="E14" s="19" t="s">
        <v>352</v>
      </c>
      <c r="F14" s="22"/>
      <c r="G14" s="56" t="s">
        <v>71</v>
      </c>
      <c r="H14" s="57" t="s">
        <v>353</v>
      </c>
      <c r="I14" s="52"/>
    </row>
    <row r="15" customFormat="false" ht="36" hidden="false" customHeight="true" outlineLevel="0" collapsed="false">
      <c r="A15" s="17"/>
      <c r="B15" s="58"/>
      <c r="C15" s="54" t="s">
        <v>354</v>
      </c>
      <c r="D15" s="59" t="s">
        <v>324</v>
      </c>
      <c r="E15" s="19" t="s">
        <v>355</v>
      </c>
      <c r="F15" s="22"/>
      <c r="G15" s="56"/>
      <c r="H15" s="57"/>
      <c r="I15" s="52"/>
    </row>
    <row r="16" customFormat="false" ht="36" hidden="false" customHeight="true" outlineLevel="0" collapsed="false">
      <c r="A16" s="17"/>
      <c r="B16" s="58"/>
      <c r="C16" s="54" t="s">
        <v>356</v>
      </c>
      <c r="D16" s="60" t="s">
        <v>327</v>
      </c>
      <c r="E16" s="19" t="s">
        <v>357</v>
      </c>
      <c r="F16" s="22"/>
      <c r="G16" s="56"/>
      <c r="H16" s="57"/>
      <c r="I16" s="52"/>
    </row>
    <row r="17" customFormat="false" ht="36" hidden="false" customHeight="true" outlineLevel="0" collapsed="false">
      <c r="A17" s="24" t="s">
        <v>72</v>
      </c>
      <c r="B17" s="53" t="s">
        <v>358</v>
      </c>
      <c r="C17" s="61" t="s">
        <v>359</v>
      </c>
      <c r="D17" s="55" t="s">
        <v>320</v>
      </c>
      <c r="E17" s="26" t="s">
        <v>360</v>
      </c>
      <c r="F17" s="27"/>
      <c r="G17" s="62" t="s">
        <v>76</v>
      </c>
      <c r="H17" s="63" t="s">
        <v>322</v>
      </c>
      <c r="I17" s="52"/>
    </row>
    <row r="18" customFormat="false" ht="36" hidden="false" customHeight="true" outlineLevel="0" collapsed="false">
      <c r="A18" s="24"/>
      <c r="B18" s="64"/>
      <c r="C18" s="61" t="s">
        <v>361</v>
      </c>
      <c r="D18" s="59" t="s">
        <v>324</v>
      </c>
      <c r="E18" s="26" t="s">
        <v>362</v>
      </c>
      <c r="F18" s="27"/>
      <c r="G18" s="62"/>
      <c r="H18" s="63"/>
      <c r="I18" s="52"/>
    </row>
    <row r="19" customFormat="false" ht="36" hidden="false" customHeight="true" outlineLevel="0" collapsed="false">
      <c r="A19" s="24"/>
      <c r="B19" s="64"/>
      <c r="C19" s="61" t="s">
        <v>363</v>
      </c>
      <c r="D19" s="60" t="s">
        <v>327</v>
      </c>
      <c r="E19" s="26" t="s">
        <v>364</v>
      </c>
      <c r="F19" s="27"/>
      <c r="G19" s="62"/>
      <c r="H19" s="63"/>
      <c r="I19" s="52"/>
    </row>
    <row r="20" customFormat="false" ht="36" hidden="false" customHeight="true" outlineLevel="0" collapsed="false">
      <c r="A20" s="24" t="s">
        <v>77</v>
      </c>
      <c r="B20" s="53" t="s">
        <v>365</v>
      </c>
      <c r="C20" s="61" t="s">
        <v>366</v>
      </c>
      <c r="D20" s="55" t="s">
        <v>320</v>
      </c>
      <c r="E20" s="26" t="s">
        <v>367</v>
      </c>
      <c r="F20" s="27"/>
      <c r="G20" s="62" t="s">
        <v>81</v>
      </c>
      <c r="H20" s="63" t="s">
        <v>368</v>
      </c>
      <c r="I20" s="52"/>
    </row>
    <row r="21" customFormat="false" ht="36" hidden="false" customHeight="true" outlineLevel="0" collapsed="false">
      <c r="A21" s="24"/>
      <c r="B21" s="64"/>
      <c r="C21" s="61" t="s">
        <v>369</v>
      </c>
      <c r="D21" s="59" t="s">
        <v>324</v>
      </c>
      <c r="E21" s="26" t="s">
        <v>370</v>
      </c>
      <c r="F21" s="27"/>
      <c r="G21" s="62"/>
      <c r="H21" s="63"/>
      <c r="I21" s="52"/>
    </row>
    <row r="22" customFormat="false" ht="36" hidden="false" customHeight="true" outlineLevel="0" collapsed="false">
      <c r="A22" s="24"/>
      <c r="B22" s="64"/>
      <c r="C22" s="61" t="s">
        <v>371</v>
      </c>
      <c r="D22" s="60" t="s">
        <v>327</v>
      </c>
      <c r="E22" s="26" t="s">
        <v>372</v>
      </c>
      <c r="F22" s="27"/>
      <c r="G22" s="62"/>
      <c r="H22" s="63"/>
      <c r="I22" s="52"/>
    </row>
    <row r="23" customFormat="false" ht="36" hidden="false" customHeight="true" outlineLevel="0" collapsed="false">
      <c r="A23" s="24" t="s">
        <v>82</v>
      </c>
      <c r="B23" s="53" t="s">
        <v>373</v>
      </c>
      <c r="C23" s="61" t="s">
        <v>374</v>
      </c>
      <c r="D23" s="55" t="s">
        <v>320</v>
      </c>
      <c r="E23" s="26" t="s">
        <v>375</v>
      </c>
      <c r="F23" s="27"/>
      <c r="G23" s="62" t="s">
        <v>86</v>
      </c>
      <c r="H23" s="63" t="s">
        <v>322</v>
      </c>
      <c r="I23" s="52"/>
    </row>
    <row r="24" customFormat="false" ht="36" hidden="false" customHeight="true" outlineLevel="0" collapsed="false">
      <c r="A24" s="24"/>
      <c r="B24" s="64"/>
      <c r="C24" s="61" t="s">
        <v>376</v>
      </c>
      <c r="D24" s="59" t="s">
        <v>324</v>
      </c>
      <c r="E24" s="26" t="s">
        <v>377</v>
      </c>
      <c r="F24" s="27"/>
      <c r="G24" s="62"/>
      <c r="H24" s="63"/>
      <c r="I24" s="52"/>
    </row>
    <row r="25" customFormat="false" ht="36" hidden="false" customHeight="true" outlineLevel="0" collapsed="false">
      <c r="A25" s="24"/>
      <c r="B25" s="64"/>
      <c r="C25" s="61" t="s">
        <v>378</v>
      </c>
      <c r="D25" s="60" t="s">
        <v>327</v>
      </c>
      <c r="E25" s="26" t="s">
        <v>379</v>
      </c>
      <c r="F25" s="27"/>
      <c r="G25" s="62"/>
      <c r="H25" s="63"/>
      <c r="I25" s="52"/>
    </row>
    <row r="26" customFormat="false" ht="36" hidden="false" customHeight="true" outlineLevel="0" collapsed="false">
      <c r="A26" s="24" t="s">
        <v>87</v>
      </c>
      <c r="B26" s="53" t="s">
        <v>380</v>
      </c>
      <c r="C26" s="61" t="s">
        <v>381</v>
      </c>
      <c r="D26" s="55" t="s">
        <v>320</v>
      </c>
      <c r="E26" s="26" t="s">
        <v>382</v>
      </c>
      <c r="F26" s="27"/>
      <c r="G26" s="62" t="s">
        <v>91</v>
      </c>
      <c r="H26" s="63" t="s">
        <v>322</v>
      </c>
      <c r="I26" s="52"/>
    </row>
    <row r="27" customFormat="false" ht="36" hidden="false" customHeight="true" outlineLevel="0" collapsed="false">
      <c r="A27" s="24"/>
      <c r="B27" s="64"/>
      <c r="C27" s="61" t="s">
        <v>383</v>
      </c>
      <c r="D27" s="59" t="s">
        <v>324</v>
      </c>
      <c r="E27" s="26" t="s">
        <v>384</v>
      </c>
      <c r="F27" s="27"/>
      <c r="G27" s="62"/>
      <c r="H27" s="63"/>
      <c r="I27" s="52"/>
    </row>
    <row r="28" customFormat="false" ht="36" hidden="false" customHeight="true" outlineLevel="0" collapsed="false">
      <c r="A28" s="24"/>
      <c r="B28" s="64"/>
      <c r="C28" s="61" t="s">
        <v>385</v>
      </c>
      <c r="D28" s="60" t="s">
        <v>327</v>
      </c>
      <c r="E28" s="26" t="s">
        <v>386</v>
      </c>
      <c r="F28" s="27"/>
      <c r="G28" s="62"/>
      <c r="H28" s="63"/>
      <c r="I28" s="52"/>
    </row>
    <row r="29" customFormat="false" ht="36" hidden="false" customHeight="true" outlineLevel="0" collapsed="false">
      <c r="A29" s="24" t="s">
        <v>92</v>
      </c>
      <c r="B29" s="53" t="s">
        <v>387</v>
      </c>
      <c r="C29" s="61" t="s">
        <v>388</v>
      </c>
      <c r="D29" s="55" t="s">
        <v>320</v>
      </c>
      <c r="E29" s="26" t="s">
        <v>389</v>
      </c>
      <c r="F29" s="27"/>
      <c r="G29" s="62" t="s">
        <v>96</v>
      </c>
      <c r="H29" s="63" t="s">
        <v>353</v>
      </c>
      <c r="I29" s="52"/>
    </row>
    <row r="30" customFormat="false" ht="36" hidden="false" customHeight="true" outlineLevel="0" collapsed="false">
      <c r="A30" s="24"/>
      <c r="B30" s="64"/>
      <c r="C30" s="61" t="s">
        <v>390</v>
      </c>
      <c r="D30" s="59" t="s">
        <v>324</v>
      </c>
      <c r="E30" s="26" t="s">
        <v>391</v>
      </c>
      <c r="F30" s="27"/>
      <c r="G30" s="62"/>
      <c r="H30" s="63"/>
      <c r="I30" s="52"/>
    </row>
    <row r="31" customFormat="false" ht="36" hidden="false" customHeight="true" outlineLevel="0" collapsed="false">
      <c r="A31" s="24"/>
      <c r="B31" s="64"/>
      <c r="C31" s="61" t="s">
        <v>392</v>
      </c>
      <c r="D31" s="60" t="s">
        <v>327</v>
      </c>
      <c r="E31" s="26" t="s">
        <v>393</v>
      </c>
      <c r="F31" s="27"/>
      <c r="G31" s="62"/>
      <c r="H31" s="63"/>
      <c r="I31" s="52"/>
    </row>
    <row r="32" customFormat="false" ht="36" hidden="false" customHeight="true" outlineLevel="0" collapsed="false">
      <c r="A32" s="17" t="s">
        <v>97</v>
      </c>
      <c r="B32" s="53" t="s">
        <v>394</v>
      </c>
      <c r="C32" s="54" t="s">
        <v>395</v>
      </c>
      <c r="D32" s="55" t="s">
        <v>320</v>
      </c>
      <c r="E32" s="19" t="s">
        <v>396</v>
      </c>
      <c r="F32" s="22"/>
      <c r="G32" s="56" t="s">
        <v>102</v>
      </c>
      <c r="H32" s="57" t="s">
        <v>322</v>
      </c>
      <c r="I32" s="52"/>
    </row>
    <row r="33" customFormat="false" ht="36" hidden="false" customHeight="true" outlineLevel="0" collapsed="false">
      <c r="A33" s="17"/>
      <c r="B33" s="58"/>
      <c r="C33" s="54" t="s">
        <v>397</v>
      </c>
      <c r="D33" s="59" t="s">
        <v>324</v>
      </c>
      <c r="E33" s="19" t="s">
        <v>398</v>
      </c>
      <c r="F33" s="22"/>
      <c r="G33" s="56"/>
      <c r="H33" s="57"/>
      <c r="I33" s="52"/>
    </row>
    <row r="34" customFormat="false" ht="36" hidden="false" customHeight="true" outlineLevel="0" collapsed="false">
      <c r="A34" s="17"/>
      <c r="B34" s="58"/>
      <c r="C34" s="54" t="s">
        <v>399</v>
      </c>
      <c r="D34" s="60" t="s">
        <v>327</v>
      </c>
      <c r="E34" s="19" t="s">
        <v>400</v>
      </c>
      <c r="F34" s="22"/>
      <c r="G34" s="56"/>
      <c r="H34" s="57"/>
      <c r="I34" s="52"/>
    </row>
    <row r="35" customFormat="false" ht="36" hidden="false" customHeight="true" outlineLevel="0" collapsed="false">
      <c r="A35" s="17" t="s">
        <v>103</v>
      </c>
      <c r="B35" s="53" t="s">
        <v>401</v>
      </c>
      <c r="C35" s="54" t="s">
        <v>402</v>
      </c>
      <c r="D35" s="55" t="s">
        <v>320</v>
      </c>
      <c r="E35" s="19" t="s">
        <v>403</v>
      </c>
      <c r="F35" s="22"/>
      <c r="G35" s="56" t="s">
        <v>107</v>
      </c>
      <c r="H35" s="57" t="s">
        <v>322</v>
      </c>
      <c r="I35" s="52"/>
    </row>
    <row r="36" customFormat="false" ht="36" hidden="false" customHeight="true" outlineLevel="0" collapsed="false">
      <c r="A36" s="17"/>
      <c r="B36" s="58"/>
      <c r="C36" s="54" t="s">
        <v>404</v>
      </c>
      <c r="D36" s="59" t="s">
        <v>324</v>
      </c>
      <c r="E36" s="19" t="s">
        <v>405</v>
      </c>
      <c r="F36" s="22"/>
      <c r="G36" s="56"/>
      <c r="H36" s="57"/>
      <c r="I36" s="52"/>
    </row>
    <row r="37" customFormat="false" ht="36" hidden="false" customHeight="true" outlineLevel="0" collapsed="false">
      <c r="A37" s="17"/>
      <c r="B37" s="58"/>
      <c r="C37" s="54" t="s">
        <v>406</v>
      </c>
      <c r="D37" s="60" t="s">
        <v>327</v>
      </c>
      <c r="E37" s="19" t="s">
        <v>407</v>
      </c>
      <c r="F37" s="22"/>
      <c r="G37" s="56"/>
      <c r="H37" s="57"/>
      <c r="I37" s="52"/>
    </row>
    <row r="38" customFormat="false" ht="36" hidden="false" customHeight="true" outlineLevel="0" collapsed="false">
      <c r="A38" s="17" t="s">
        <v>108</v>
      </c>
      <c r="B38" s="53" t="s">
        <v>408</v>
      </c>
      <c r="C38" s="54" t="s">
        <v>409</v>
      </c>
      <c r="D38" s="55" t="s">
        <v>320</v>
      </c>
      <c r="E38" s="19" t="s">
        <v>410</v>
      </c>
      <c r="F38" s="22"/>
      <c r="G38" s="56" t="s">
        <v>112</v>
      </c>
      <c r="H38" s="57" t="s">
        <v>368</v>
      </c>
      <c r="I38" s="52"/>
    </row>
    <row r="39" customFormat="false" ht="36" hidden="false" customHeight="true" outlineLevel="0" collapsed="false">
      <c r="A39" s="17"/>
      <c r="B39" s="58"/>
      <c r="C39" s="54" t="s">
        <v>411</v>
      </c>
      <c r="D39" s="59" t="s">
        <v>324</v>
      </c>
      <c r="E39" s="19" t="s">
        <v>412</v>
      </c>
      <c r="F39" s="22"/>
      <c r="G39" s="56"/>
      <c r="H39" s="57"/>
      <c r="I39" s="52"/>
    </row>
    <row r="40" customFormat="false" ht="36" hidden="false" customHeight="true" outlineLevel="0" collapsed="false">
      <c r="A40" s="17"/>
      <c r="B40" s="58"/>
      <c r="C40" s="54" t="s">
        <v>413</v>
      </c>
      <c r="D40" s="60" t="s">
        <v>327</v>
      </c>
      <c r="E40" s="19" t="s">
        <v>414</v>
      </c>
      <c r="F40" s="22"/>
      <c r="G40" s="56"/>
      <c r="H40" s="57"/>
      <c r="I40" s="52"/>
    </row>
    <row r="41" customFormat="false" ht="36" hidden="false" customHeight="true" outlineLevel="0" collapsed="false">
      <c r="A41" s="17" t="s">
        <v>113</v>
      </c>
      <c r="B41" s="53" t="s">
        <v>415</v>
      </c>
      <c r="C41" s="54" t="s">
        <v>416</v>
      </c>
      <c r="D41" s="55" t="s">
        <v>320</v>
      </c>
      <c r="E41" s="19" t="s">
        <v>417</v>
      </c>
      <c r="F41" s="22"/>
      <c r="G41" s="56" t="s">
        <v>117</v>
      </c>
      <c r="H41" s="57" t="s">
        <v>368</v>
      </c>
      <c r="I41" s="52"/>
    </row>
    <row r="42" customFormat="false" ht="36" hidden="false" customHeight="true" outlineLevel="0" collapsed="false">
      <c r="A42" s="17"/>
      <c r="B42" s="58"/>
      <c r="C42" s="54" t="s">
        <v>418</v>
      </c>
      <c r="D42" s="59" t="s">
        <v>324</v>
      </c>
      <c r="E42" s="19" t="s">
        <v>419</v>
      </c>
      <c r="F42" s="22"/>
      <c r="G42" s="56"/>
      <c r="H42" s="57"/>
      <c r="I42" s="52"/>
    </row>
    <row r="43" customFormat="false" ht="36" hidden="false" customHeight="true" outlineLevel="0" collapsed="false">
      <c r="A43" s="17"/>
      <c r="B43" s="58"/>
      <c r="C43" s="54" t="s">
        <v>420</v>
      </c>
      <c r="D43" s="60" t="s">
        <v>327</v>
      </c>
      <c r="E43" s="19" t="s">
        <v>421</v>
      </c>
      <c r="F43" s="22"/>
      <c r="G43" s="56"/>
      <c r="H43" s="57"/>
      <c r="I43" s="52"/>
    </row>
    <row r="44" customFormat="false" ht="36" hidden="false" customHeight="true" outlineLevel="0" collapsed="false">
      <c r="A44" s="17" t="s">
        <v>118</v>
      </c>
      <c r="B44" s="53" t="s">
        <v>422</v>
      </c>
      <c r="C44" s="54" t="s">
        <v>423</v>
      </c>
      <c r="D44" s="55" t="s">
        <v>320</v>
      </c>
      <c r="E44" s="19" t="s">
        <v>424</v>
      </c>
      <c r="F44" s="22"/>
      <c r="G44" s="56" t="s">
        <v>122</v>
      </c>
      <c r="H44" s="57" t="s">
        <v>425</v>
      </c>
      <c r="I44" s="52"/>
    </row>
    <row r="45" customFormat="false" ht="36" hidden="false" customHeight="true" outlineLevel="0" collapsed="false">
      <c r="A45" s="17"/>
      <c r="B45" s="58"/>
      <c r="C45" s="54" t="s">
        <v>426</v>
      </c>
      <c r="D45" s="59" t="s">
        <v>324</v>
      </c>
      <c r="E45" s="19" t="s">
        <v>427</v>
      </c>
      <c r="F45" s="22"/>
      <c r="G45" s="56"/>
      <c r="H45" s="57"/>
      <c r="I45" s="52"/>
    </row>
    <row r="46" customFormat="false" ht="36" hidden="false" customHeight="true" outlineLevel="0" collapsed="false">
      <c r="A46" s="17"/>
      <c r="B46" s="58"/>
      <c r="C46" s="54" t="s">
        <v>428</v>
      </c>
      <c r="D46" s="60" t="s">
        <v>327</v>
      </c>
      <c r="E46" s="19" t="s">
        <v>429</v>
      </c>
      <c r="F46" s="22"/>
      <c r="G46" s="56"/>
      <c r="H46" s="57"/>
      <c r="I46" s="52"/>
    </row>
    <row r="47" customFormat="false" ht="36" hidden="false" customHeight="true" outlineLevel="0" collapsed="false">
      <c r="A47" s="24" t="s">
        <v>123</v>
      </c>
      <c r="B47" s="53" t="s">
        <v>430</v>
      </c>
      <c r="C47" s="61" t="s">
        <v>431</v>
      </c>
      <c r="D47" s="55" t="s">
        <v>320</v>
      </c>
      <c r="E47" s="26" t="s">
        <v>432</v>
      </c>
      <c r="F47" s="27"/>
      <c r="G47" s="62" t="s">
        <v>127</v>
      </c>
      <c r="H47" s="63" t="s">
        <v>425</v>
      </c>
      <c r="I47" s="52"/>
    </row>
    <row r="48" customFormat="false" ht="36" hidden="false" customHeight="true" outlineLevel="0" collapsed="false">
      <c r="A48" s="24"/>
      <c r="B48" s="64"/>
      <c r="C48" s="61" t="s">
        <v>433</v>
      </c>
      <c r="D48" s="59" t="s">
        <v>324</v>
      </c>
      <c r="E48" s="26" t="s">
        <v>434</v>
      </c>
      <c r="F48" s="27"/>
      <c r="G48" s="62"/>
      <c r="H48" s="63"/>
      <c r="I48" s="52"/>
    </row>
    <row r="49" customFormat="false" ht="36" hidden="false" customHeight="true" outlineLevel="0" collapsed="false">
      <c r="A49" s="24"/>
      <c r="B49" s="64"/>
      <c r="C49" s="61" t="s">
        <v>435</v>
      </c>
      <c r="D49" s="60" t="s">
        <v>327</v>
      </c>
      <c r="E49" s="26" t="s">
        <v>436</v>
      </c>
      <c r="F49" s="27"/>
      <c r="G49" s="62"/>
      <c r="H49" s="63"/>
      <c r="I49" s="52"/>
    </row>
    <row r="50" customFormat="false" ht="36" hidden="false" customHeight="true" outlineLevel="0" collapsed="false">
      <c r="A50" s="24" t="s">
        <v>128</v>
      </c>
      <c r="B50" s="53" t="s">
        <v>437</v>
      </c>
      <c r="C50" s="61" t="s">
        <v>438</v>
      </c>
      <c r="D50" s="55" t="s">
        <v>320</v>
      </c>
      <c r="E50" s="26" t="s">
        <v>439</v>
      </c>
      <c r="F50" s="27"/>
      <c r="G50" s="62" t="s">
        <v>132</v>
      </c>
      <c r="H50" s="63" t="s">
        <v>368</v>
      </c>
      <c r="I50" s="52"/>
    </row>
    <row r="51" customFormat="false" ht="36" hidden="false" customHeight="true" outlineLevel="0" collapsed="false">
      <c r="A51" s="24"/>
      <c r="B51" s="64"/>
      <c r="C51" s="61" t="s">
        <v>440</v>
      </c>
      <c r="D51" s="59" t="s">
        <v>324</v>
      </c>
      <c r="E51" s="26" t="s">
        <v>441</v>
      </c>
      <c r="F51" s="27"/>
      <c r="G51" s="62"/>
      <c r="H51" s="63"/>
      <c r="I51" s="52"/>
    </row>
    <row r="52" customFormat="false" ht="36" hidden="false" customHeight="true" outlineLevel="0" collapsed="false">
      <c r="A52" s="24"/>
      <c r="B52" s="64"/>
      <c r="C52" s="61" t="s">
        <v>442</v>
      </c>
      <c r="D52" s="60" t="s">
        <v>327</v>
      </c>
      <c r="E52" s="26" t="s">
        <v>443</v>
      </c>
      <c r="F52" s="27"/>
      <c r="G52" s="62"/>
      <c r="H52" s="63"/>
      <c r="I52" s="52"/>
    </row>
    <row r="53" customFormat="false" ht="36" hidden="false" customHeight="true" outlineLevel="0" collapsed="false">
      <c r="A53" s="24" t="s">
        <v>133</v>
      </c>
      <c r="B53" s="53" t="s">
        <v>444</v>
      </c>
      <c r="C53" s="61" t="s">
        <v>445</v>
      </c>
      <c r="D53" s="55" t="s">
        <v>320</v>
      </c>
      <c r="E53" s="26" t="s">
        <v>446</v>
      </c>
      <c r="F53" s="27"/>
      <c r="G53" s="62" t="s">
        <v>137</v>
      </c>
      <c r="H53" s="63" t="s">
        <v>368</v>
      </c>
      <c r="I53" s="52"/>
    </row>
    <row r="54" customFormat="false" ht="36" hidden="false" customHeight="true" outlineLevel="0" collapsed="false">
      <c r="A54" s="24"/>
      <c r="B54" s="64"/>
      <c r="C54" s="61" t="s">
        <v>447</v>
      </c>
      <c r="D54" s="59" t="s">
        <v>324</v>
      </c>
      <c r="E54" s="26" t="s">
        <v>448</v>
      </c>
      <c r="F54" s="27"/>
      <c r="G54" s="62"/>
      <c r="H54" s="63"/>
      <c r="I54" s="52"/>
    </row>
    <row r="55" customFormat="false" ht="36" hidden="false" customHeight="true" outlineLevel="0" collapsed="false">
      <c r="A55" s="24"/>
      <c r="B55" s="64"/>
      <c r="C55" s="61" t="s">
        <v>449</v>
      </c>
      <c r="D55" s="60" t="s">
        <v>327</v>
      </c>
      <c r="E55" s="26" t="s">
        <v>450</v>
      </c>
      <c r="F55" s="27"/>
      <c r="G55" s="62"/>
      <c r="H55" s="63"/>
      <c r="I55" s="52"/>
    </row>
    <row r="56" customFormat="false" ht="36" hidden="false" customHeight="true" outlineLevel="0" collapsed="false">
      <c r="A56" s="24" t="s">
        <v>138</v>
      </c>
      <c r="B56" s="53" t="s">
        <v>451</v>
      </c>
      <c r="C56" s="61" t="s">
        <v>452</v>
      </c>
      <c r="D56" s="55" t="s">
        <v>320</v>
      </c>
      <c r="E56" s="26" t="s">
        <v>453</v>
      </c>
      <c r="F56" s="27"/>
      <c r="G56" s="62" t="s">
        <v>142</v>
      </c>
      <c r="H56" s="63" t="s">
        <v>322</v>
      </c>
      <c r="I56" s="52"/>
    </row>
    <row r="57" customFormat="false" ht="36" hidden="false" customHeight="true" outlineLevel="0" collapsed="false">
      <c r="A57" s="24"/>
      <c r="B57" s="64"/>
      <c r="C57" s="61" t="s">
        <v>454</v>
      </c>
      <c r="D57" s="59" t="s">
        <v>324</v>
      </c>
      <c r="E57" s="26" t="s">
        <v>455</v>
      </c>
      <c r="F57" s="27"/>
      <c r="G57" s="62"/>
      <c r="H57" s="63"/>
      <c r="I57" s="52"/>
    </row>
    <row r="58" customFormat="false" ht="36" hidden="false" customHeight="true" outlineLevel="0" collapsed="false">
      <c r="A58" s="24"/>
      <c r="B58" s="64"/>
      <c r="C58" s="61" t="s">
        <v>456</v>
      </c>
      <c r="D58" s="60" t="s">
        <v>327</v>
      </c>
      <c r="E58" s="26" t="s">
        <v>457</v>
      </c>
      <c r="F58" s="27"/>
      <c r="G58" s="62"/>
      <c r="H58" s="63"/>
      <c r="I58" s="52"/>
    </row>
    <row r="59" customFormat="false" ht="36" hidden="false" customHeight="true" outlineLevel="0" collapsed="false">
      <c r="A59" s="24" t="s">
        <v>143</v>
      </c>
      <c r="B59" s="53" t="s">
        <v>458</v>
      </c>
      <c r="C59" s="61" t="s">
        <v>459</v>
      </c>
      <c r="D59" s="55" t="s">
        <v>320</v>
      </c>
      <c r="E59" s="26" t="s">
        <v>460</v>
      </c>
      <c r="F59" s="27"/>
      <c r="G59" s="62" t="s">
        <v>147</v>
      </c>
      <c r="H59" s="63" t="s">
        <v>322</v>
      </c>
      <c r="I59" s="52"/>
    </row>
    <row r="60" customFormat="false" ht="36" hidden="false" customHeight="true" outlineLevel="0" collapsed="false">
      <c r="A60" s="24"/>
      <c r="B60" s="64"/>
      <c r="C60" s="61" t="s">
        <v>461</v>
      </c>
      <c r="D60" s="59" t="s">
        <v>324</v>
      </c>
      <c r="E60" s="26" t="s">
        <v>462</v>
      </c>
      <c r="F60" s="27"/>
      <c r="G60" s="62"/>
      <c r="H60" s="63"/>
      <c r="I60" s="52"/>
    </row>
    <row r="61" customFormat="false" ht="36" hidden="false" customHeight="true" outlineLevel="0" collapsed="false">
      <c r="A61" s="24"/>
      <c r="B61" s="64"/>
      <c r="C61" s="61" t="s">
        <v>463</v>
      </c>
      <c r="D61" s="60" t="s">
        <v>327</v>
      </c>
      <c r="E61" s="26" t="s">
        <v>464</v>
      </c>
      <c r="F61" s="27"/>
      <c r="G61" s="62"/>
      <c r="H61" s="63"/>
      <c r="I61" s="52"/>
    </row>
    <row r="62" customFormat="false" ht="36" hidden="false" customHeight="true" outlineLevel="0" collapsed="false">
      <c r="A62" s="17" t="s">
        <v>148</v>
      </c>
      <c r="B62" s="53" t="s">
        <v>465</v>
      </c>
      <c r="C62" s="54" t="s">
        <v>466</v>
      </c>
      <c r="D62" s="55" t="s">
        <v>320</v>
      </c>
      <c r="E62" s="19" t="s">
        <v>467</v>
      </c>
      <c r="F62" s="22"/>
      <c r="G62" s="56" t="s">
        <v>152</v>
      </c>
      <c r="H62" s="57" t="s">
        <v>322</v>
      </c>
      <c r="I62" s="52"/>
    </row>
    <row r="63" customFormat="false" ht="36" hidden="false" customHeight="true" outlineLevel="0" collapsed="false">
      <c r="A63" s="17"/>
      <c r="B63" s="58"/>
      <c r="C63" s="54" t="s">
        <v>468</v>
      </c>
      <c r="D63" s="59" t="s">
        <v>324</v>
      </c>
      <c r="E63" s="19" t="s">
        <v>469</v>
      </c>
      <c r="F63" s="22"/>
      <c r="G63" s="56"/>
      <c r="H63" s="57"/>
      <c r="I63" s="52"/>
    </row>
    <row r="64" customFormat="false" ht="36" hidden="false" customHeight="true" outlineLevel="0" collapsed="false">
      <c r="A64" s="17"/>
      <c r="B64" s="58"/>
      <c r="C64" s="54" t="s">
        <v>470</v>
      </c>
      <c r="D64" s="60" t="s">
        <v>327</v>
      </c>
      <c r="E64" s="19" t="s">
        <v>471</v>
      </c>
      <c r="F64" s="22"/>
      <c r="G64" s="56"/>
      <c r="H64" s="57"/>
      <c r="I64" s="52"/>
    </row>
    <row r="65" customFormat="false" ht="36" hidden="false" customHeight="true" outlineLevel="0" collapsed="false">
      <c r="A65" s="17" t="s">
        <v>153</v>
      </c>
      <c r="B65" s="53" t="s">
        <v>472</v>
      </c>
      <c r="C65" s="54" t="s">
        <v>473</v>
      </c>
      <c r="D65" s="55" t="s">
        <v>320</v>
      </c>
      <c r="E65" s="19" t="s">
        <v>474</v>
      </c>
      <c r="F65" s="22"/>
      <c r="G65" s="56" t="s">
        <v>157</v>
      </c>
      <c r="H65" s="57" t="s">
        <v>322</v>
      </c>
      <c r="I65" s="52"/>
    </row>
    <row r="66" customFormat="false" ht="36" hidden="false" customHeight="true" outlineLevel="0" collapsed="false">
      <c r="A66" s="17"/>
      <c r="B66" s="58"/>
      <c r="C66" s="54" t="s">
        <v>475</v>
      </c>
      <c r="D66" s="59" t="s">
        <v>324</v>
      </c>
      <c r="E66" s="19" t="s">
        <v>476</v>
      </c>
      <c r="F66" s="22"/>
      <c r="G66" s="56"/>
      <c r="H66" s="57"/>
      <c r="I66" s="52"/>
    </row>
    <row r="67" customFormat="false" ht="36" hidden="false" customHeight="true" outlineLevel="0" collapsed="false">
      <c r="A67" s="17"/>
      <c r="B67" s="58"/>
      <c r="C67" s="54" t="s">
        <v>477</v>
      </c>
      <c r="D67" s="60" t="s">
        <v>327</v>
      </c>
      <c r="E67" s="19" t="s">
        <v>478</v>
      </c>
      <c r="F67" s="22"/>
      <c r="G67" s="56"/>
      <c r="H67" s="57"/>
      <c r="I67" s="52"/>
    </row>
    <row r="68" customFormat="false" ht="36" hidden="false" customHeight="true" outlineLevel="0" collapsed="false">
      <c r="A68" s="17" t="s">
        <v>158</v>
      </c>
      <c r="B68" s="53" t="s">
        <v>479</v>
      </c>
      <c r="C68" s="54" t="s">
        <v>480</v>
      </c>
      <c r="D68" s="55" t="s">
        <v>320</v>
      </c>
      <c r="E68" s="19" t="s">
        <v>481</v>
      </c>
      <c r="F68" s="22"/>
      <c r="G68" s="56" t="s">
        <v>162</v>
      </c>
      <c r="H68" s="57" t="s">
        <v>322</v>
      </c>
      <c r="I68" s="52"/>
    </row>
    <row r="69" customFormat="false" ht="36" hidden="false" customHeight="true" outlineLevel="0" collapsed="false">
      <c r="A69" s="17"/>
      <c r="B69" s="58"/>
      <c r="C69" s="54" t="s">
        <v>482</v>
      </c>
      <c r="D69" s="59" t="s">
        <v>324</v>
      </c>
      <c r="E69" s="19" t="s">
        <v>483</v>
      </c>
      <c r="F69" s="22"/>
      <c r="G69" s="56"/>
      <c r="H69" s="57"/>
      <c r="I69" s="52"/>
    </row>
    <row r="70" customFormat="false" ht="36" hidden="false" customHeight="true" outlineLevel="0" collapsed="false">
      <c r="A70" s="17"/>
      <c r="B70" s="58"/>
      <c r="C70" s="54" t="s">
        <v>484</v>
      </c>
      <c r="D70" s="60" t="s">
        <v>327</v>
      </c>
      <c r="E70" s="19" t="s">
        <v>485</v>
      </c>
      <c r="F70" s="22"/>
      <c r="G70" s="56"/>
      <c r="H70" s="57"/>
      <c r="I70" s="52"/>
    </row>
    <row r="71" customFormat="false" ht="36" hidden="false" customHeight="true" outlineLevel="0" collapsed="false">
      <c r="A71" s="17" t="s">
        <v>163</v>
      </c>
      <c r="B71" s="53" t="s">
        <v>486</v>
      </c>
      <c r="C71" s="54" t="s">
        <v>487</v>
      </c>
      <c r="D71" s="55" t="s">
        <v>320</v>
      </c>
      <c r="E71" s="19" t="s">
        <v>488</v>
      </c>
      <c r="F71" s="22"/>
      <c r="G71" s="56" t="s">
        <v>167</v>
      </c>
      <c r="H71" s="57" t="s">
        <v>425</v>
      </c>
      <c r="I71" s="52"/>
    </row>
    <row r="72" customFormat="false" ht="36" hidden="false" customHeight="true" outlineLevel="0" collapsed="false">
      <c r="A72" s="17"/>
      <c r="B72" s="58"/>
      <c r="C72" s="54" t="s">
        <v>489</v>
      </c>
      <c r="D72" s="59" t="s">
        <v>324</v>
      </c>
      <c r="E72" s="19" t="s">
        <v>490</v>
      </c>
      <c r="F72" s="22"/>
      <c r="G72" s="56"/>
      <c r="H72" s="57"/>
      <c r="I72" s="52"/>
    </row>
    <row r="73" customFormat="false" ht="36" hidden="false" customHeight="true" outlineLevel="0" collapsed="false">
      <c r="A73" s="17"/>
      <c r="B73" s="58"/>
      <c r="C73" s="54" t="s">
        <v>491</v>
      </c>
      <c r="D73" s="60" t="s">
        <v>327</v>
      </c>
      <c r="E73" s="19" t="s">
        <v>492</v>
      </c>
      <c r="F73" s="22"/>
      <c r="G73" s="56"/>
      <c r="H73" s="57"/>
      <c r="I73" s="52"/>
    </row>
    <row r="74" customFormat="false" ht="36" hidden="false" customHeight="true" outlineLevel="0" collapsed="false">
      <c r="A74" s="17" t="s">
        <v>168</v>
      </c>
      <c r="B74" s="53" t="s">
        <v>493</v>
      </c>
      <c r="C74" s="54" t="s">
        <v>494</v>
      </c>
      <c r="D74" s="55" t="s">
        <v>320</v>
      </c>
      <c r="E74" s="19" t="s">
        <v>495</v>
      </c>
      <c r="F74" s="22"/>
      <c r="G74" s="56" t="s">
        <v>172</v>
      </c>
      <c r="H74" s="57" t="s">
        <v>425</v>
      </c>
      <c r="I74" s="52"/>
    </row>
    <row r="75" customFormat="false" ht="36" hidden="false" customHeight="true" outlineLevel="0" collapsed="false">
      <c r="A75" s="17"/>
      <c r="B75" s="58"/>
      <c r="C75" s="54" t="s">
        <v>496</v>
      </c>
      <c r="D75" s="59" t="s">
        <v>324</v>
      </c>
      <c r="E75" s="19" t="s">
        <v>497</v>
      </c>
      <c r="F75" s="22"/>
      <c r="G75" s="56"/>
      <c r="H75" s="57"/>
      <c r="I75" s="52"/>
    </row>
    <row r="76" customFormat="false" ht="36" hidden="false" customHeight="true" outlineLevel="0" collapsed="false">
      <c r="A76" s="17"/>
      <c r="B76" s="58"/>
      <c r="C76" s="54" t="s">
        <v>498</v>
      </c>
      <c r="D76" s="60" t="s">
        <v>327</v>
      </c>
      <c r="E76" s="19" t="s">
        <v>499</v>
      </c>
      <c r="F76" s="22"/>
      <c r="G76" s="56"/>
      <c r="H76" s="57"/>
      <c r="I76" s="52"/>
    </row>
    <row r="77" customFormat="false" ht="36" hidden="false" customHeight="true" outlineLevel="0" collapsed="false">
      <c r="A77" s="24" t="s">
        <v>173</v>
      </c>
      <c r="B77" s="53" t="s">
        <v>500</v>
      </c>
      <c r="C77" s="61" t="s">
        <v>501</v>
      </c>
      <c r="D77" s="55" t="s">
        <v>320</v>
      </c>
      <c r="E77" s="26" t="s">
        <v>502</v>
      </c>
      <c r="F77" s="27"/>
      <c r="G77" s="62" t="s">
        <v>177</v>
      </c>
      <c r="H77" s="63" t="s">
        <v>322</v>
      </c>
      <c r="I77" s="52"/>
    </row>
    <row r="78" customFormat="false" ht="36" hidden="false" customHeight="true" outlineLevel="0" collapsed="false">
      <c r="A78" s="24"/>
      <c r="B78" s="64"/>
      <c r="C78" s="61" t="s">
        <v>503</v>
      </c>
      <c r="D78" s="59" t="s">
        <v>324</v>
      </c>
      <c r="E78" s="26" t="s">
        <v>504</v>
      </c>
      <c r="F78" s="27"/>
      <c r="G78" s="62"/>
      <c r="H78" s="63"/>
      <c r="I78" s="52"/>
    </row>
    <row r="79" customFormat="false" ht="36" hidden="false" customHeight="true" outlineLevel="0" collapsed="false">
      <c r="A79" s="24"/>
      <c r="B79" s="64"/>
      <c r="C79" s="61" t="s">
        <v>505</v>
      </c>
      <c r="D79" s="60" t="s">
        <v>327</v>
      </c>
      <c r="E79" s="26" t="s">
        <v>506</v>
      </c>
      <c r="F79" s="27"/>
      <c r="G79" s="62"/>
      <c r="H79" s="63"/>
      <c r="I79" s="52"/>
    </row>
    <row r="80" customFormat="false" ht="36" hidden="false" customHeight="true" outlineLevel="0" collapsed="false">
      <c r="A80" s="24" t="s">
        <v>178</v>
      </c>
      <c r="B80" s="53" t="s">
        <v>507</v>
      </c>
      <c r="C80" s="61" t="s">
        <v>508</v>
      </c>
      <c r="D80" s="55" t="s">
        <v>320</v>
      </c>
      <c r="E80" s="26" t="s">
        <v>509</v>
      </c>
      <c r="F80" s="27"/>
      <c r="G80" s="62" t="s">
        <v>182</v>
      </c>
      <c r="H80" s="63" t="s">
        <v>322</v>
      </c>
      <c r="I80" s="52"/>
    </row>
    <row r="81" customFormat="false" ht="36" hidden="false" customHeight="true" outlineLevel="0" collapsed="false">
      <c r="A81" s="24"/>
      <c r="B81" s="64"/>
      <c r="C81" s="61" t="s">
        <v>510</v>
      </c>
      <c r="D81" s="59" t="s">
        <v>324</v>
      </c>
      <c r="E81" s="26" t="s">
        <v>511</v>
      </c>
      <c r="F81" s="27"/>
      <c r="G81" s="62"/>
      <c r="H81" s="63"/>
      <c r="I81" s="52"/>
    </row>
    <row r="82" customFormat="false" ht="36" hidden="false" customHeight="true" outlineLevel="0" collapsed="false">
      <c r="A82" s="24"/>
      <c r="B82" s="64"/>
      <c r="C82" s="61" t="s">
        <v>512</v>
      </c>
      <c r="D82" s="60" t="s">
        <v>327</v>
      </c>
      <c r="E82" s="26" t="s">
        <v>513</v>
      </c>
      <c r="F82" s="27"/>
      <c r="G82" s="62"/>
      <c r="H82" s="63"/>
      <c r="I82" s="52"/>
    </row>
    <row r="83" customFormat="false" ht="36" hidden="false" customHeight="true" outlineLevel="0" collapsed="false">
      <c r="A83" s="24" t="s">
        <v>183</v>
      </c>
      <c r="B83" s="53" t="s">
        <v>514</v>
      </c>
      <c r="C83" s="61" t="s">
        <v>515</v>
      </c>
      <c r="D83" s="55" t="s">
        <v>320</v>
      </c>
      <c r="E83" s="26" t="s">
        <v>516</v>
      </c>
      <c r="F83" s="27"/>
      <c r="G83" s="62" t="s">
        <v>187</v>
      </c>
      <c r="H83" s="63" t="s">
        <v>322</v>
      </c>
      <c r="I83" s="52"/>
    </row>
    <row r="84" customFormat="false" ht="36" hidden="false" customHeight="true" outlineLevel="0" collapsed="false">
      <c r="A84" s="24"/>
      <c r="B84" s="64"/>
      <c r="C84" s="61" t="s">
        <v>517</v>
      </c>
      <c r="D84" s="59" t="s">
        <v>324</v>
      </c>
      <c r="E84" s="26" t="s">
        <v>518</v>
      </c>
      <c r="F84" s="27"/>
      <c r="G84" s="62"/>
      <c r="H84" s="63"/>
      <c r="I84" s="52"/>
    </row>
    <row r="85" customFormat="false" ht="36" hidden="false" customHeight="true" outlineLevel="0" collapsed="false">
      <c r="A85" s="24"/>
      <c r="B85" s="64"/>
      <c r="C85" s="61" t="s">
        <v>519</v>
      </c>
      <c r="D85" s="60" t="s">
        <v>327</v>
      </c>
      <c r="E85" s="26" t="s">
        <v>520</v>
      </c>
      <c r="F85" s="27"/>
      <c r="G85" s="62"/>
      <c r="H85" s="63"/>
      <c r="I85" s="52"/>
    </row>
    <row r="86" customFormat="false" ht="36" hidden="false" customHeight="true" outlineLevel="0" collapsed="false">
      <c r="A86" s="24" t="s">
        <v>188</v>
      </c>
      <c r="B86" s="53" t="s">
        <v>521</v>
      </c>
      <c r="C86" s="61" t="s">
        <v>522</v>
      </c>
      <c r="D86" s="55" t="s">
        <v>320</v>
      </c>
      <c r="E86" s="26" t="s">
        <v>523</v>
      </c>
      <c r="F86" s="27"/>
      <c r="G86" s="62" t="s">
        <v>192</v>
      </c>
      <c r="H86" s="63" t="s">
        <v>368</v>
      </c>
      <c r="I86" s="52"/>
    </row>
    <row r="87" customFormat="false" ht="36" hidden="false" customHeight="true" outlineLevel="0" collapsed="false">
      <c r="A87" s="24"/>
      <c r="B87" s="64"/>
      <c r="C87" s="61" t="s">
        <v>524</v>
      </c>
      <c r="D87" s="59" t="s">
        <v>324</v>
      </c>
      <c r="E87" s="26" t="s">
        <v>525</v>
      </c>
      <c r="F87" s="27"/>
      <c r="G87" s="62"/>
      <c r="H87" s="63"/>
      <c r="I87" s="52"/>
    </row>
    <row r="88" customFormat="false" ht="36" hidden="false" customHeight="true" outlineLevel="0" collapsed="false">
      <c r="A88" s="24"/>
      <c r="B88" s="64"/>
      <c r="C88" s="61" t="s">
        <v>526</v>
      </c>
      <c r="D88" s="60" t="s">
        <v>327</v>
      </c>
      <c r="E88" s="26" t="s">
        <v>527</v>
      </c>
      <c r="F88" s="27"/>
      <c r="G88" s="62"/>
      <c r="H88" s="63"/>
      <c r="I88" s="52"/>
    </row>
    <row r="89" customFormat="false" ht="36" hidden="false" customHeight="true" outlineLevel="0" collapsed="false">
      <c r="A89" s="24" t="s">
        <v>193</v>
      </c>
      <c r="B89" s="53" t="s">
        <v>528</v>
      </c>
      <c r="C89" s="61" t="s">
        <v>529</v>
      </c>
      <c r="D89" s="55" t="s">
        <v>320</v>
      </c>
      <c r="E89" s="26" t="s">
        <v>530</v>
      </c>
      <c r="F89" s="27"/>
      <c r="G89" s="62" t="s">
        <v>197</v>
      </c>
      <c r="H89" s="63" t="s">
        <v>322</v>
      </c>
      <c r="I89" s="52"/>
    </row>
    <row r="90" customFormat="false" ht="36" hidden="false" customHeight="true" outlineLevel="0" collapsed="false">
      <c r="A90" s="24"/>
      <c r="B90" s="64"/>
      <c r="C90" s="61" t="s">
        <v>531</v>
      </c>
      <c r="D90" s="59" t="s">
        <v>324</v>
      </c>
      <c r="E90" s="26" t="s">
        <v>532</v>
      </c>
      <c r="F90" s="27"/>
      <c r="G90" s="62"/>
      <c r="H90" s="63"/>
      <c r="I90" s="52"/>
    </row>
    <row r="91" customFormat="false" ht="36" hidden="false" customHeight="true" outlineLevel="0" collapsed="false">
      <c r="A91" s="24"/>
      <c r="B91" s="64"/>
      <c r="C91" s="61" t="s">
        <v>533</v>
      </c>
      <c r="D91" s="60" t="s">
        <v>327</v>
      </c>
      <c r="E91" s="26" t="s">
        <v>534</v>
      </c>
      <c r="F91" s="27"/>
      <c r="G91" s="62"/>
      <c r="H91" s="63"/>
      <c r="I91" s="52"/>
    </row>
    <row r="92" customFormat="false" ht="36" hidden="false" customHeight="true" outlineLevel="0" collapsed="false">
      <c r="A92" s="17" t="s">
        <v>198</v>
      </c>
      <c r="B92" s="53" t="s">
        <v>535</v>
      </c>
      <c r="C92" s="54" t="s">
        <v>536</v>
      </c>
      <c r="D92" s="55" t="s">
        <v>320</v>
      </c>
      <c r="E92" s="19" t="s">
        <v>537</v>
      </c>
      <c r="F92" s="22"/>
      <c r="G92" s="56" t="s">
        <v>203</v>
      </c>
      <c r="H92" s="57" t="s">
        <v>322</v>
      </c>
      <c r="I92" s="52"/>
    </row>
    <row r="93" customFormat="false" ht="36" hidden="false" customHeight="true" outlineLevel="0" collapsed="false">
      <c r="A93" s="17"/>
      <c r="B93" s="58"/>
      <c r="C93" s="54" t="s">
        <v>538</v>
      </c>
      <c r="D93" s="59" t="s">
        <v>324</v>
      </c>
      <c r="E93" s="19" t="s">
        <v>539</v>
      </c>
      <c r="F93" s="22"/>
      <c r="G93" s="56"/>
      <c r="H93" s="57"/>
      <c r="I93" s="52"/>
    </row>
    <row r="94" customFormat="false" ht="36" hidden="false" customHeight="true" outlineLevel="0" collapsed="false">
      <c r="A94" s="17"/>
      <c r="B94" s="58"/>
      <c r="C94" s="54" t="s">
        <v>540</v>
      </c>
      <c r="D94" s="60" t="s">
        <v>327</v>
      </c>
      <c r="E94" s="19" t="s">
        <v>541</v>
      </c>
      <c r="F94" s="22"/>
      <c r="G94" s="56"/>
      <c r="H94" s="57"/>
      <c r="I94" s="52"/>
    </row>
    <row r="95" customFormat="false" ht="36" hidden="false" customHeight="true" outlineLevel="0" collapsed="false">
      <c r="A95" s="17" t="s">
        <v>204</v>
      </c>
      <c r="B95" s="53" t="s">
        <v>542</v>
      </c>
      <c r="C95" s="54" t="s">
        <v>543</v>
      </c>
      <c r="D95" s="55" t="s">
        <v>320</v>
      </c>
      <c r="E95" s="19" t="s">
        <v>544</v>
      </c>
      <c r="F95" s="22"/>
      <c r="G95" s="56" t="s">
        <v>208</v>
      </c>
      <c r="H95" s="57" t="s">
        <v>368</v>
      </c>
      <c r="I95" s="52"/>
    </row>
    <row r="96" customFormat="false" ht="36" hidden="false" customHeight="true" outlineLevel="0" collapsed="false">
      <c r="A96" s="17"/>
      <c r="B96" s="58"/>
      <c r="C96" s="54" t="s">
        <v>545</v>
      </c>
      <c r="D96" s="59" t="s">
        <v>324</v>
      </c>
      <c r="E96" s="19" t="s">
        <v>546</v>
      </c>
      <c r="F96" s="22"/>
      <c r="G96" s="56"/>
      <c r="H96" s="57"/>
      <c r="I96" s="52"/>
    </row>
    <row r="97" customFormat="false" ht="36" hidden="false" customHeight="true" outlineLevel="0" collapsed="false">
      <c r="A97" s="17"/>
      <c r="B97" s="58"/>
      <c r="C97" s="54" t="s">
        <v>547</v>
      </c>
      <c r="D97" s="60" t="s">
        <v>327</v>
      </c>
      <c r="E97" s="19" t="s">
        <v>548</v>
      </c>
      <c r="F97" s="22"/>
      <c r="G97" s="56"/>
      <c r="H97" s="57"/>
      <c r="I97" s="52"/>
    </row>
    <row r="98" customFormat="false" ht="36" hidden="false" customHeight="true" outlineLevel="0" collapsed="false">
      <c r="A98" s="17" t="s">
        <v>209</v>
      </c>
      <c r="B98" s="53" t="s">
        <v>549</v>
      </c>
      <c r="C98" s="54" t="s">
        <v>550</v>
      </c>
      <c r="D98" s="55" t="s">
        <v>320</v>
      </c>
      <c r="E98" s="19" t="s">
        <v>551</v>
      </c>
      <c r="F98" s="22"/>
      <c r="G98" s="56" t="s">
        <v>213</v>
      </c>
      <c r="H98" s="57" t="s">
        <v>368</v>
      </c>
      <c r="I98" s="52"/>
    </row>
    <row r="99" customFormat="false" ht="36" hidden="false" customHeight="true" outlineLevel="0" collapsed="false">
      <c r="A99" s="17"/>
      <c r="B99" s="58"/>
      <c r="C99" s="54" t="s">
        <v>552</v>
      </c>
      <c r="D99" s="59" t="s">
        <v>324</v>
      </c>
      <c r="E99" s="19" t="s">
        <v>553</v>
      </c>
      <c r="F99" s="22"/>
      <c r="G99" s="56"/>
      <c r="H99" s="57"/>
      <c r="I99" s="52"/>
    </row>
    <row r="100" customFormat="false" ht="36" hidden="false" customHeight="true" outlineLevel="0" collapsed="false">
      <c r="A100" s="17"/>
      <c r="B100" s="58"/>
      <c r="C100" s="54" t="s">
        <v>554</v>
      </c>
      <c r="D100" s="60" t="s">
        <v>327</v>
      </c>
      <c r="E100" s="19" t="s">
        <v>555</v>
      </c>
      <c r="F100" s="22"/>
      <c r="G100" s="56"/>
      <c r="H100" s="57"/>
      <c r="I100" s="52"/>
    </row>
    <row r="101" customFormat="false" ht="36" hidden="false" customHeight="true" outlineLevel="0" collapsed="false">
      <c r="A101" s="17" t="s">
        <v>214</v>
      </c>
      <c r="B101" s="53" t="s">
        <v>556</v>
      </c>
      <c r="C101" s="54" t="s">
        <v>557</v>
      </c>
      <c r="D101" s="55" t="s">
        <v>320</v>
      </c>
      <c r="E101" s="19" t="s">
        <v>558</v>
      </c>
      <c r="F101" s="22"/>
      <c r="G101" s="56" t="s">
        <v>218</v>
      </c>
      <c r="H101" s="57" t="s">
        <v>322</v>
      </c>
      <c r="I101" s="52"/>
    </row>
    <row r="102" customFormat="false" ht="36" hidden="false" customHeight="true" outlineLevel="0" collapsed="false">
      <c r="A102" s="17"/>
      <c r="B102" s="58"/>
      <c r="C102" s="54" t="s">
        <v>559</v>
      </c>
      <c r="D102" s="59" t="s">
        <v>324</v>
      </c>
      <c r="E102" s="19" t="s">
        <v>560</v>
      </c>
      <c r="F102" s="22"/>
      <c r="G102" s="56"/>
      <c r="H102" s="57"/>
      <c r="I102" s="52"/>
    </row>
    <row r="103" customFormat="false" ht="36" hidden="false" customHeight="true" outlineLevel="0" collapsed="false">
      <c r="A103" s="17"/>
      <c r="B103" s="58"/>
      <c r="C103" s="54" t="s">
        <v>561</v>
      </c>
      <c r="D103" s="60" t="s">
        <v>327</v>
      </c>
      <c r="E103" s="19" t="s">
        <v>562</v>
      </c>
      <c r="F103" s="22"/>
      <c r="G103" s="56"/>
      <c r="H103" s="57"/>
      <c r="I103" s="52"/>
    </row>
    <row r="104" customFormat="false" ht="36" hidden="false" customHeight="true" outlineLevel="0" collapsed="false">
      <c r="A104" s="17" t="s">
        <v>219</v>
      </c>
      <c r="B104" s="53" t="s">
        <v>563</v>
      </c>
      <c r="C104" s="54" t="s">
        <v>564</v>
      </c>
      <c r="D104" s="55" t="s">
        <v>320</v>
      </c>
      <c r="E104" s="19" t="s">
        <v>565</v>
      </c>
      <c r="F104" s="22"/>
      <c r="G104" s="56" t="s">
        <v>223</v>
      </c>
      <c r="H104" s="57" t="s">
        <v>368</v>
      </c>
      <c r="I104" s="52"/>
    </row>
    <row r="105" customFormat="false" ht="36" hidden="false" customHeight="true" outlineLevel="0" collapsed="false">
      <c r="A105" s="17"/>
      <c r="B105" s="58"/>
      <c r="C105" s="54" t="s">
        <v>566</v>
      </c>
      <c r="D105" s="59" t="s">
        <v>324</v>
      </c>
      <c r="E105" s="19" t="s">
        <v>567</v>
      </c>
      <c r="F105" s="22"/>
      <c r="G105" s="56"/>
      <c r="H105" s="57"/>
      <c r="I105" s="52"/>
    </row>
    <row r="106" customFormat="false" ht="36" hidden="false" customHeight="true" outlineLevel="0" collapsed="false">
      <c r="A106" s="17"/>
      <c r="B106" s="58"/>
      <c r="C106" s="54" t="s">
        <v>568</v>
      </c>
      <c r="D106" s="60" t="s">
        <v>327</v>
      </c>
      <c r="E106" s="19" t="s">
        <v>569</v>
      </c>
      <c r="F106" s="22"/>
      <c r="G106" s="56"/>
      <c r="H106" s="57"/>
      <c r="I106" s="52"/>
    </row>
    <row r="107" customFormat="false" ht="36" hidden="false" customHeight="true" outlineLevel="0" collapsed="false">
      <c r="A107" s="24" t="s">
        <v>224</v>
      </c>
      <c r="B107" s="53" t="s">
        <v>570</v>
      </c>
      <c r="C107" s="61" t="s">
        <v>571</v>
      </c>
      <c r="D107" s="55" t="s">
        <v>320</v>
      </c>
      <c r="E107" s="26" t="s">
        <v>572</v>
      </c>
      <c r="F107" s="27"/>
      <c r="G107" s="62" t="s">
        <v>228</v>
      </c>
      <c r="H107" s="63" t="s">
        <v>368</v>
      </c>
      <c r="I107" s="52"/>
    </row>
    <row r="108" customFormat="false" ht="36" hidden="false" customHeight="true" outlineLevel="0" collapsed="false">
      <c r="A108" s="24"/>
      <c r="B108" s="64"/>
      <c r="C108" s="61" t="s">
        <v>573</v>
      </c>
      <c r="D108" s="59" t="s">
        <v>324</v>
      </c>
      <c r="E108" s="26" t="s">
        <v>574</v>
      </c>
      <c r="F108" s="27"/>
      <c r="G108" s="62"/>
      <c r="H108" s="63"/>
      <c r="I108" s="52"/>
    </row>
    <row r="109" customFormat="false" ht="36" hidden="false" customHeight="true" outlineLevel="0" collapsed="false">
      <c r="A109" s="24"/>
      <c r="B109" s="64"/>
      <c r="C109" s="61" t="s">
        <v>575</v>
      </c>
      <c r="D109" s="60" t="s">
        <v>327</v>
      </c>
      <c r="E109" s="26" t="s">
        <v>576</v>
      </c>
      <c r="F109" s="27"/>
      <c r="G109" s="62"/>
      <c r="H109" s="63"/>
      <c r="I109" s="52"/>
    </row>
    <row r="110" customFormat="false" ht="36" hidden="false" customHeight="true" outlineLevel="0" collapsed="false">
      <c r="A110" s="24" t="s">
        <v>229</v>
      </c>
      <c r="B110" s="53" t="s">
        <v>577</v>
      </c>
      <c r="C110" s="61" t="s">
        <v>578</v>
      </c>
      <c r="D110" s="55" t="s">
        <v>320</v>
      </c>
      <c r="E110" s="26" t="s">
        <v>579</v>
      </c>
      <c r="F110" s="27"/>
      <c r="G110" s="62" t="s">
        <v>233</v>
      </c>
      <c r="H110" s="63" t="s">
        <v>368</v>
      </c>
      <c r="I110" s="52"/>
    </row>
    <row r="111" customFormat="false" ht="36" hidden="false" customHeight="true" outlineLevel="0" collapsed="false">
      <c r="A111" s="24"/>
      <c r="B111" s="64"/>
      <c r="C111" s="61" t="s">
        <v>580</v>
      </c>
      <c r="D111" s="59" t="s">
        <v>324</v>
      </c>
      <c r="E111" s="26" t="s">
        <v>581</v>
      </c>
      <c r="F111" s="27"/>
      <c r="G111" s="62"/>
      <c r="H111" s="63"/>
      <c r="I111" s="52"/>
    </row>
    <row r="112" customFormat="false" ht="36" hidden="false" customHeight="true" outlineLevel="0" collapsed="false">
      <c r="A112" s="24"/>
      <c r="B112" s="64"/>
      <c r="C112" s="61" t="s">
        <v>582</v>
      </c>
      <c r="D112" s="60" t="s">
        <v>327</v>
      </c>
      <c r="E112" s="26" t="s">
        <v>583</v>
      </c>
      <c r="F112" s="27"/>
      <c r="G112" s="62"/>
      <c r="H112" s="63"/>
      <c r="I112" s="52"/>
    </row>
    <row r="113" customFormat="false" ht="36" hidden="false" customHeight="true" outlineLevel="0" collapsed="false">
      <c r="A113" s="24" t="s">
        <v>234</v>
      </c>
      <c r="B113" s="53" t="s">
        <v>584</v>
      </c>
      <c r="C113" s="61" t="s">
        <v>585</v>
      </c>
      <c r="D113" s="55" t="s">
        <v>320</v>
      </c>
      <c r="E113" s="26" t="s">
        <v>586</v>
      </c>
      <c r="F113" s="27"/>
      <c r="G113" s="62" t="s">
        <v>238</v>
      </c>
      <c r="H113" s="63" t="s">
        <v>425</v>
      </c>
      <c r="I113" s="52"/>
    </row>
    <row r="114" customFormat="false" ht="36" hidden="false" customHeight="true" outlineLevel="0" collapsed="false">
      <c r="A114" s="24"/>
      <c r="B114" s="64"/>
      <c r="C114" s="61" t="s">
        <v>587</v>
      </c>
      <c r="D114" s="59" t="s">
        <v>324</v>
      </c>
      <c r="E114" s="26" t="s">
        <v>588</v>
      </c>
      <c r="F114" s="27"/>
      <c r="G114" s="62"/>
      <c r="H114" s="63"/>
      <c r="I114" s="52"/>
    </row>
    <row r="115" customFormat="false" ht="36" hidden="false" customHeight="true" outlineLevel="0" collapsed="false">
      <c r="A115" s="24"/>
      <c r="B115" s="64"/>
      <c r="C115" s="61" t="s">
        <v>589</v>
      </c>
      <c r="D115" s="60" t="s">
        <v>327</v>
      </c>
      <c r="E115" s="26" t="s">
        <v>590</v>
      </c>
      <c r="F115" s="27"/>
      <c r="G115" s="62"/>
      <c r="H115" s="63"/>
      <c r="I115" s="52"/>
    </row>
    <row r="116" customFormat="false" ht="36" hidden="false" customHeight="true" outlineLevel="0" collapsed="false">
      <c r="A116" s="24" t="s">
        <v>239</v>
      </c>
      <c r="B116" s="53" t="s">
        <v>591</v>
      </c>
      <c r="C116" s="61" t="s">
        <v>592</v>
      </c>
      <c r="D116" s="55" t="s">
        <v>320</v>
      </c>
      <c r="E116" s="26" t="s">
        <v>593</v>
      </c>
      <c r="F116" s="27"/>
      <c r="G116" s="62" t="s">
        <v>243</v>
      </c>
      <c r="H116" s="63" t="s">
        <v>322</v>
      </c>
      <c r="I116" s="52"/>
    </row>
    <row r="117" customFormat="false" ht="36" hidden="false" customHeight="true" outlineLevel="0" collapsed="false">
      <c r="A117" s="24"/>
      <c r="B117" s="64"/>
      <c r="C117" s="61" t="s">
        <v>594</v>
      </c>
      <c r="D117" s="59" t="s">
        <v>324</v>
      </c>
      <c r="E117" s="26" t="s">
        <v>595</v>
      </c>
      <c r="F117" s="27"/>
      <c r="G117" s="62"/>
      <c r="H117" s="63"/>
      <c r="I117" s="52"/>
    </row>
    <row r="118" customFormat="false" ht="36" hidden="false" customHeight="true" outlineLevel="0" collapsed="false">
      <c r="A118" s="24"/>
      <c r="B118" s="64"/>
      <c r="C118" s="61" t="s">
        <v>596</v>
      </c>
      <c r="D118" s="60" t="s">
        <v>327</v>
      </c>
      <c r="E118" s="26" t="s">
        <v>597</v>
      </c>
      <c r="F118" s="27"/>
      <c r="G118" s="62"/>
      <c r="H118" s="63"/>
      <c r="I118" s="52"/>
    </row>
    <row r="119" customFormat="false" ht="36" hidden="false" customHeight="true" outlineLevel="0" collapsed="false">
      <c r="A119" s="24" t="s">
        <v>244</v>
      </c>
      <c r="B119" s="53" t="s">
        <v>598</v>
      </c>
      <c r="C119" s="61" t="s">
        <v>599</v>
      </c>
      <c r="D119" s="55" t="s">
        <v>320</v>
      </c>
      <c r="E119" s="26" t="s">
        <v>600</v>
      </c>
      <c r="F119" s="27"/>
      <c r="G119" s="62" t="s">
        <v>248</v>
      </c>
      <c r="H119" s="63" t="s">
        <v>425</v>
      </c>
      <c r="I119" s="52"/>
    </row>
    <row r="120" customFormat="false" ht="36" hidden="false" customHeight="true" outlineLevel="0" collapsed="false">
      <c r="A120" s="24"/>
      <c r="B120" s="64"/>
      <c r="C120" s="61" t="s">
        <v>601</v>
      </c>
      <c r="D120" s="59" t="s">
        <v>324</v>
      </c>
      <c r="E120" s="26" t="s">
        <v>602</v>
      </c>
      <c r="F120" s="27"/>
      <c r="G120" s="62"/>
      <c r="H120" s="63"/>
      <c r="I120" s="52"/>
    </row>
    <row r="121" customFormat="false" ht="36" hidden="false" customHeight="true" outlineLevel="0" collapsed="false">
      <c r="A121" s="24"/>
      <c r="B121" s="64"/>
      <c r="C121" s="61" t="s">
        <v>603</v>
      </c>
      <c r="D121" s="60" t="s">
        <v>327</v>
      </c>
      <c r="E121" s="26" t="s">
        <v>604</v>
      </c>
      <c r="F121" s="27"/>
      <c r="G121" s="62"/>
      <c r="H121" s="63"/>
      <c r="I121" s="52"/>
    </row>
    <row r="122" customFormat="false" ht="36" hidden="false" customHeight="true" outlineLevel="0" collapsed="false">
      <c r="A122" s="17" t="s">
        <v>249</v>
      </c>
      <c r="B122" s="53" t="s">
        <v>605</v>
      </c>
      <c r="C122" s="54" t="s">
        <v>606</v>
      </c>
      <c r="D122" s="55" t="s">
        <v>320</v>
      </c>
      <c r="E122" s="19" t="s">
        <v>607</v>
      </c>
      <c r="F122" s="22"/>
      <c r="G122" s="56" t="s">
        <v>254</v>
      </c>
      <c r="H122" s="57" t="s">
        <v>368</v>
      </c>
      <c r="I122" s="52"/>
    </row>
    <row r="123" customFormat="false" ht="36" hidden="false" customHeight="true" outlineLevel="0" collapsed="false">
      <c r="A123" s="17"/>
      <c r="B123" s="58"/>
      <c r="C123" s="54" t="s">
        <v>608</v>
      </c>
      <c r="D123" s="59" t="s">
        <v>324</v>
      </c>
      <c r="E123" s="19" t="s">
        <v>609</v>
      </c>
      <c r="F123" s="22"/>
      <c r="G123" s="56"/>
      <c r="H123" s="57"/>
      <c r="I123" s="52"/>
    </row>
    <row r="124" customFormat="false" ht="36" hidden="false" customHeight="true" outlineLevel="0" collapsed="false">
      <c r="A124" s="17"/>
      <c r="B124" s="58"/>
      <c r="C124" s="54" t="s">
        <v>610</v>
      </c>
      <c r="D124" s="60" t="s">
        <v>327</v>
      </c>
      <c r="E124" s="19" t="s">
        <v>611</v>
      </c>
      <c r="F124" s="22"/>
      <c r="G124" s="56"/>
      <c r="H124" s="57"/>
      <c r="I124" s="52"/>
    </row>
    <row r="125" customFormat="false" ht="36" hidden="false" customHeight="true" outlineLevel="0" collapsed="false">
      <c r="A125" s="17" t="s">
        <v>255</v>
      </c>
      <c r="B125" s="53" t="s">
        <v>612</v>
      </c>
      <c r="C125" s="54" t="s">
        <v>613</v>
      </c>
      <c r="D125" s="55" t="s">
        <v>320</v>
      </c>
      <c r="E125" s="19" t="s">
        <v>614</v>
      </c>
      <c r="F125" s="22"/>
      <c r="G125" s="56" t="s">
        <v>259</v>
      </c>
      <c r="H125" s="57" t="s">
        <v>368</v>
      </c>
      <c r="I125" s="52"/>
    </row>
    <row r="126" customFormat="false" ht="36" hidden="false" customHeight="true" outlineLevel="0" collapsed="false">
      <c r="A126" s="17"/>
      <c r="B126" s="58"/>
      <c r="C126" s="54" t="s">
        <v>615</v>
      </c>
      <c r="D126" s="59" t="s">
        <v>324</v>
      </c>
      <c r="E126" s="19" t="s">
        <v>616</v>
      </c>
      <c r="F126" s="22"/>
      <c r="G126" s="56"/>
      <c r="H126" s="57"/>
      <c r="I126" s="52"/>
    </row>
    <row r="127" customFormat="false" ht="36" hidden="false" customHeight="true" outlineLevel="0" collapsed="false">
      <c r="A127" s="17"/>
      <c r="B127" s="58"/>
      <c r="C127" s="54" t="s">
        <v>617</v>
      </c>
      <c r="D127" s="60" t="s">
        <v>327</v>
      </c>
      <c r="E127" s="19" t="s">
        <v>618</v>
      </c>
      <c r="F127" s="22"/>
      <c r="G127" s="56"/>
      <c r="H127" s="57"/>
      <c r="I127" s="52"/>
    </row>
    <row r="128" customFormat="false" ht="36" hidden="false" customHeight="true" outlineLevel="0" collapsed="false">
      <c r="A128" s="17" t="s">
        <v>260</v>
      </c>
      <c r="B128" s="53" t="s">
        <v>619</v>
      </c>
      <c r="C128" s="54" t="s">
        <v>620</v>
      </c>
      <c r="D128" s="55" t="s">
        <v>320</v>
      </c>
      <c r="E128" s="19" t="s">
        <v>621</v>
      </c>
      <c r="F128" s="22"/>
      <c r="G128" s="56" t="s">
        <v>264</v>
      </c>
      <c r="H128" s="57" t="s">
        <v>368</v>
      </c>
      <c r="I128" s="52"/>
    </row>
    <row r="129" customFormat="false" ht="36" hidden="false" customHeight="true" outlineLevel="0" collapsed="false">
      <c r="A129" s="17"/>
      <c r="B129" s="58"/>
      <c r="C129" s="54" t="s">
        <v>622</v>
      </c>
      <c r="D129" s="59" t="s">
        <v>324</v>
      </c>
      <c r="E129" s="19" t="s">
        <v>623</v>
      </c>
      <c r="F129" s="22"/>
      <c r="G129" s="56"/>
      <c r="H129" s="57"/>
      <c r="I129" s="52"/>
    </row>
    <row r="130" customFormat="false" ht="36" hidden="false" customHeight="true" outlineLevel="0" collapsed="false">
      <c r="A130" s="17"/>
      <c r="B130" s="58"/>
      <c r="C130" s="54" t="s">
        <v>624</v>
      </c>
      <c r="D130" s="60" t="s">
        <v>327</v>
      </c>
      <c r="E130" s="19" t="s">
        <v>625</v>
      </c>
      <c r="F130" s="22"/>
      <c r="G130" s="56"/>
      <c r="H130" s="57"/>
      <c r="I130" s="52"/>
    </row>
    <row r="131" customFormat="false" ht="36" hidden="false" customHeight="true" outlineLevel="0" collapsed="false">
      <c r="A131" s="17" t="s">
        <v>265</v>
      </c>
      <c r="B131" s="53" t="s">
        <v>626</v>
      </c>
      <c r="C131" s="54" t="s">
        <v>627</v>
      </c>
      <c r="D131" s="55" t="s">
        <v>320</v>
      </c>
      <c r="E131" s="19" t="s">
        <v>628</v>
      </c>
      <c r="F131" s="22"/>
      <c r="G131" s="56" t="s">
        <v>269</v>
      </c>
      <c r="H131" s="57" t="s">
        <v>368</v>
      </c>
      <c r="I131" s="52"/>
    </row>
    <row r="132" customFormat="false" ht="36" hidden="false" customHeight="true" outlineLevel="0" collapsed="false">
      <c r="A132" s="17"/>
      <c r="B132" s="58"/>
      <c r="C132" s="54" t="s">
        <v>629</v>
      </c>
      <c r="D132" s="59" t="s">
        <v>324</v>
      </c>
      <c r="E132" s="19" t="s">
        <v>630</v>
      </c>
      <c r="F132" s="22"/>
      <c r="G132" s="56"/>
      <c r="H132" s="57"/>
      <c r="I132" s="52"/>
    </row>
    <row r="133" customFormat="false" ht="36" hidden="false" customHeight="true" outlineLevel="0" collapsed="false">
      <c r="A133" s="17"/>
      <c r="B133" s="58"/>
      <c r="C133" s="54" t="s">
        <v>631</v>
      </c>
      <c r="D133" s="60" t="s">
        <v>327</v>
      </c>
      <c r="E133" s="19" t="s">
        <v>632</v>
      </c>
      <c r="F133" s="22"/>
      <c r="G133" s="56"/>
      <c r="H133" s="57"/>
      <c r="I133" s="52"/>
    </row>
    <row r="134" customFormat="false" ht="36" hidden="false" customHeight="true" outlineLevel="0" collapsed="false">
      <c r="A134" s="17" t="s">
        <v>270</v>
      </c>
      <c r="B134" s="53" t="s">
        <v>633</v>
      </c>
      <c r="C134" s="54" t="s">
        <v>634</v>
      </c>
      <c r="D134" s="55" t="s">
        <v>320</v>
      </c>
      <c r="E134" s="19" t="s">
        <v>635</v>
      </c>
      <c r="F134" s="22"/>
      <c r="G134" s="56" t="s">
        <v>274</v>
      </c>
      <c r="H134" s="57" t="s">
        <v>353</v>
      </c>
      <c r="I134" s="52"/>
    </row>
    <row r="135" customFormat="false" ht="36" hidden="false" customHeight="true" outlineLevel="0" collapsed="false">
      <c r="A135" s="17"/>
      <c r="B135" s="58"/>
      <c r="C135" s="54" t="s">
        <v>636</v>
      </c>
      <c r="D135" s="59" t="s">
        <v>324</v>
      </c>
      <c r="E135" s="19" t="s">
        <v>637</v>
      </c>
      <c r="F135" s="22"/>
      <c r="G135" s="56"/>
      <c r="H135" s="57"/>
      <c r="I135" s="52"/>
    </row>
    <row r="136" customFormat="false" ht="36" hidden="false" customHeight="true" outlineLevel="0" collapsed="false">
      <c r="A136" s="17"/>
      <c r="B136" s="58"/>
      <c r="C136" s="54" t="s">
        <v>638</v>
      </c>
      <c r="D136" s="60" t="s">
        <v>327</v>
      </c>
      <c r="E136" s="19" t="s">
        <v>639</v>
      </c>
      <c r="F136" s="22"/>
      <c r="G136" s="56"/>
      <c r="H136" s="57"/>
      <c r="I136" s="52"/>
    </row>
    <row r="137" customFormat="false" ht="36" hidden="false" customHeight="true" outlineLevel="0" collapsed="false">
      <c r="A137" s="24" t="s">
        <v>275</v>
      </c>
      <c r="B137" s="53" t="s">
        <v>640</v>
      </c>
      <c r="C137" s="61" t="s">
        <v>641</v>
      </c>
      <c r="D137" s="55" t="s">
        <v>320</v>
      </c>
      <c r="E137" s="26" t="s">
        <v>642</v>
      </c>
      <c r="F137" s="27"/>
      <c r="G137" s="62" t="s">
        <v>279</v>
      </c>
      <c r="H137" s="63" t="s">
        <v>368</v>
      </c>
      <c r="I137" s="52"/>
    </row>
    <row r="138" customFormat="false" ht="36" hidden="false" customHeight="true" outlineLevel="0" collapsed="false">
      <c r="A138" s="24"/>
      <c r="B138" s="64"/>
      <c r="C138" s="61" t="s">
        <v>643</v>
      </c>
      <c r="D138" s="59" t="s">
        <v>324</v>
      </c>
      <c r="E138" s="26" t="s">
        <v>644</v>
      </c>
      <c r="F138" s="27"/>
      <c r="G138" s="62"/>
      <c r="H138" s="63"/>
      <c r="I138" s="52"/>
    </row>
    <row r="139" customFormat="false" ht="36" hidden="false" customHeight="true" outlineLevel="0" collapsed="false">
      <c r="A139" s="24"/>
      <c r="B139" s="64"/>
      <c r="C139" s="61" t="s">
        <v>645</v>
      </c>
      <c r="D139" s="60" t="s">
        <v>327</v>
      </c>
      <c r="E139" s="26" t="s">
        <v>646</v>
      </c>
      <c r="F139" s="27"/>
      <c r="G139" s="62"/>
      <c r="H139" s="63"/>
      <c r="I139" s="52"/>
    </row>
    <row r="140" customFormat="false" ht="36" hidden="false" customHeight="true" outlineLevel="0" collapsed="false">
      <c r="A140" s="24" t="s">
        <v>280</v>
      </c>
      <c r="B140" s="53" t="s">
        <v>647</v>
      </c>
      <c r="C140" s="61" t="s">
        <v>648</v>
      </c>
      <c r="D140" s="55" t="s">
        <v>320</v>
      </c>
      <c r="E140" s="26" t="s">
        <v>649</v>
      </c>
      <c r="F140" s="27"/>
      <c r="G140" s="62" t="s">
        <v>284</v>
      </c>
      <c r="H140" s="63" t="s">
        <v>425</v>
      </c>
      <c r="I140" s="52"/>
    </row>
    <row r="141" customFormat="false" ht="36" hidden="false" customHeight="true" outlineLevel="0" collapsed="false">
      <c r="A141" s="24"/>
      <c r="B141" s="64"/>
      <c r="C141" s="61" t="s">
        <v>650</v>
      </c>
      <c r="D141" s="59" t="s">
        <v>324</v>
      </c>
      <c r="E141" s="26" t="s">
        <v>651</v>
      </c>
      <c r="F141" s="27"/>
      <c r="G141" s="62"/>
      <c r="H141" s="63"/>
      <c r="I141" s="52"/>
    </row>
    <row r="142" customFormat="false" ht="36" hidden="false" customHeight="true" outlineLevel="0" collapsed="false">
      <c r="A142" s="24"/>
      <c r="B142" s="64"/>
      <c r="C142" s="61" t="s">
        <v>652</v>
      </c>
      <c r="D142" s="60" t="s">
        <v>327</v>
      </c>
      <c r="E142" s="26" t="s">
        <v>653</v>
      </c>
      <c r="F142" s="27"/>
      <c r="G142" s="62"/>
      <c r="H142" s="63"/>
      <c r="I142" s="52"/>
    </row>
    <row r="143" customFormat="false" ht="36" hidden="false" customHeight="true" outlineLevel="0" collapsed="false">
      <c r="A143" s="24" t="s">
        <v>285</v>
      </c>
      <c r="B143" s="53" t="s">
        <v>654</v>
      </c>
      <c r="C143" s="61" t="s">
        <v>655</v>
      </c>
      <c r="D143" s="55" t="s">
        <v>320</v>
      </c>
      <c r="E143" s="26" t="s">
        <v>656</v>
      </c>
      <c r="F143" s="27"/>
      <c r="G143" s="62" t="s">
        <v>289</v>
      </c>
      <c r="H143" s="63" t="s">
        <v>368</v>
      </c>
      <c r="I143" s="52"/>
    </row>
    <row r="144" customFormat="false" ht="36" hidden="false" customHeight="true" outlineLevel="0" collapsed="false">
      <c r="A144" s="24"/>
      <c r="B144" s="64"/>
      <c r="C144" s="61" t="s">
        <v>657</v>
      </c>
      <c r="D144" s="59" t="s">
        <v>324</v>
      </c>
      <c r="E144" s="26" t="s">
        <v>658</v>
      </c>
      <c r="F144" s="27"/>
      <c r="G144" s="62"/>
      <c r="H144" s="63"/>
      <c r="I144" s="52"/>
    </row>
    <row r="145" customFormat="false" ht="36" hidden="false" customHeight="true" outlineLevel="0" collapsed="false">
      <c r="A145" s="24"/>
      <c r="B145" s="64"/>
      <c r="C145" s="61" t="s">
        <v>659</v>
      </c>
      <c r="D145" s="60" t="s">
        <v>327</v>
      </c>
      <c r="E145" s="26" t="s">
        <v>660</v>
      </c>
      <c r="F145" s="27"/>
      <c r="G145" s="62"/>
      <c r="H145" s="63"/>
      <c r="I145" s="52"/>
    </row>
    <row r="146" customFormat="false" ht="36" hidden="false" customHeight="true" outlineLevel="0" collapsed="false">
      <c r="A146" s="24" t="s">
        <v>290</v>
      </c>
      <c r="B146" s="53" t="s">
        <v>661</v>
      </c>
      <c r="C146" s="61" t="s">
        <v>662</v>
      </c>
      <c r="D146" s="55" t="s">
        <v>320</v>
      </c>
      <c r="E146" s="26" t="s">
        <v>663</v>
      </c>
      <c r="F146" s="27"/>
      <c r="G146" s="62" t="s">
        <v>294</v>
      </c>
      <c r="H146" s="63" t="s">
        <v>353</v>
      </c>
      <c r="I146" s="52"/>
    </row>
    <row r="147" customFormat="false" ht="36" hidden="false" customHeight="true" outlineLevel="0" collapsed="false">
      <c r="A147" s="24"/>
      <c r="B147" s="64"/>
      <c r="C147" s="61" t="s">
        <v>664</v>
      </c>
      <c r="D147" s="59" t="s">
        <v>324</v>
      </c>
      <c r="E147" s="26" t="s">
        <v>665</v>
      </c>
      <c r="F147" s="27"/>
      <c r="G147" s="62"/>
      <c r="H147" s="63"/>
      <c r="I147" s="52"/>
    </row>
    <row r="148" customFormat="false" ht="36" hidden="false" customHeight="true" outlineLevel="0" collapsed="false">
      <c r="A148" s="24"/>
      <c r="B148" s="64"/>
      <c r="C148" s="61" t="s">
        <v>666</v>
      </c>
      <c r="D148" s="60" t="s">
        <v>327</v>
      </c>
      <c r="E148" s="26" t="s">
        <v>667</v>
      </c>
      <c r="F148" s="27"/>
      <c r="G148" s="62"/>
      <c r="H148" s="63"/>
      <c r="I148" s="52"/>
    </row>
    <row r="149" customFormat="false" ht="36" hidden="false" customHeight="true" outlineLevel="0" collapsed="false">
      <c r="A149" s="24" t="s">
        <v>295</v>
      </c>
      <c r="B149" s="53" t="s">
        <v>668</v>
      </c>
      <c r="C149" s="61" t="s">
        <v>669</v>
      </c>
      <c r="D149" s="55" t="s">
        <v>320</v>
      </c>
      <c r="E149" s="26" t="s">
        <v>670</v>
      </c>
      <c r="F149" s="27"/>
      <c r="G149" s="62" t="s">
        <v>299</v>
      </c>
      <c r="H149" s="63" t="s">
        <v>368</v>
      </c>
      <c r="I149" s="52"/>
    </row>
    <row r="150" customFormat="false" ht="36" hidden="false" customHeight="true" outlineLevel="0" collapsed="false">
      <c r="A150" s="24"/>
      <c r="B150" s="64"/>
      <c r="C150" s="61" t="s">
        <v>671</v>
      </c>
      <c r="D150" s="59" t="s">
        <v>324</v>
      </c>
      <c r="E150" s="26" t="s">
        <v>672</v>
      </c>
      <c r="F150" s="27"/>
      <c r="G150" s="62"/>
      <c r="H150" s="63"/>
      <c r="I150" s="52"/>
    </row>
    <row r="151" customFormat="false" ht="36" hidden="false" customHeight="true" outlineLevel="0" collapsed="false">
      <c r="A151" s="24"/>
      <c r="B151" s="64"/>
      <c r="C151" s="61" t="s">
        <v>673</v>
      </c>
      <c r="D151" s="60" t="s">
        <v>327</v>
      </c>
      <c r="E151" s="26" t="s">
        <v>674</v>
      </c>
      <c r="F151" s="27"/>
      <c r="G151" s="62"/>
      <c r="H151" s="63"/>
      <c r="I151" s="52"/>
    </row>
    <row r="152" customFormat="false" ht="15" hidden="false" customHeight="fals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</row>
  </sheetData>
  <conditionalFormatting sqref="F2:F15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"PENDING"</formula>
    </cfRule>
    <cfRule type="cellIs" priority="5" operator="equal" aboveAverage="0" equalAverage="0" bottom="0" percent="0" rank="0" text="" dxfId="7">
      <formula>"N/A"</formula>
    </cfRule>
  </conditionalFormatting>
  <dataValidations count="1">
    <dataValidation allowBlank="true" error="Choose PASS / FAIL / PENDING / N/A" errorStyle="stop" errorTitle="Invalid outcome" operator="between" prompt="PASS = test asserts hold. FAIL = test asserts violated. PENDING = test specified but not run. N/A = invariant inactive on this platform." promptTitle="Test Outcome" showDropDown="false" showErrorMessage="false" showInputMessage="false" sqref="F2:F151" type="list">
      <formula1>"PASS,FAIL,PENDING,N/A"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2026-05-19T20:57:22Z</dcterms:created>
  <dc:creator>openpyxl</dc:creator>
  <dc:description/>
  <dc:language>en-US</dc:language>
  <cp:lastModifiedBy/>
  <dcterms:modified xsi:type="dcterms:W3CDTF">2026-05-21T07:49:09Z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