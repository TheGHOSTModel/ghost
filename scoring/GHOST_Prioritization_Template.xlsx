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2k2ec4\Downloads\"/>
    </mc:Choice>
  </mc:AlternateContent>
  <xr:revisionPtr revIDLastSave="0" documentId="8_{80505646-FAA8-49F1-8330-B9AFCE53E7C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How to use" sheetId="1" r:id="rId1"/>
    <sheet name="Prioritization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3" l="1"/>
  <c r="B28" i="3"/>
  <c r="B27" i="3"/>
  <c r="B26" i="3"/>
  <c r="B25" i="3"/>
  <c r="B24" i="3"/>
  <c r="B23" i="3"/>
  <c r="K28" i="2"/>
  <c r="O28" i="2" s="1"/>
  <c r="K27" i="2"/>
  <c r="O27" i="2" s="1"/>
  <c r="K26" i="2"/>
  <c r="O26" i="2" s="1"/>
  <c r="K25" i="2"/>
  <c r="O25" i="2" s="1"/>
  <c r="K24" i="2"/>
  <c r="O24" i="2" s="1"/>
  <c r="K23" i="2"/>
  <c r="C27" i="3" s="1"/>
  <c r="K22" i="2"/>
  <c r="L22" i="2" s="1"/>
  <c r="K21" i="2"/>
  <c r="O21" i="2" s="1"/>
  <c r="K20" i="2"/>
  <c r="O20" i="2" s="1"/>
  <c r="K19" i="2"/>
  <c r="O19" i="2" s="1"/>
  <c r="K18" i="2"/>
  <c r="O18" i="2" s="1"/>
  <c r="K17" i="2"/>
  <c r="O17" i="2" s="1"/>
  <c r="K16" i="2"/>
  <c r="O16" i="2" s="1"/>
  <c r="K15" i="2"/>
  <c r="C26" i="3" s="1"/>
  <c r="K14" i="2"/>
  <c r="O14" i="2" s="1"/>
  <c r="K13" i="2"/>
  <c r="O13" i="2" s="1"/>
  <c r="K12" i="2"/>
  <c r="O12" i="2" s="1"/>
  <c r="K11" i="2"/>
  <c r="O11" i="2" s="1"/>
  <c r="K10" i="2"/>
  <c r="L10" i="2" s="1"/>
  <c r="L7" i="2"/>
  <c r="K7" i="2"/>
  <c r="C23" i="3" l="1"/>
  <c r="L11" i="2"/>
  <c r="L15" i="2"/>
  <c r="L19" i="2"/>
  <c r="L23" i="2"/>
  <c r="L27" i="2"/>
  <c r="O15" i="2"/>
  <c r="O23" i="2"/>
  <c r="C24" i="3"/>
  <c r="L12" i="2"/>
  <c r="L16" i="2"/>
  <c r="L20" i="2"/>
  <c r="L24" i="2"/>
  <c r="L28" i="2"/>
  <c r="C25" i="3"/>
  <c r="L26" i="2"/>
  <c r="O10" i="2"/>
  <c r="O22" i="2"/>
  <c r="L14" i="2"/>
  <c r="L13" i="2"/>
  <c r="L17" i="2"/>
  <c r="L21" i="2"/>
  <c r="L25" i="2"/>
  <c r="L18" i="2"/>
  <c r="B19" i="3" l="1"/>
  <c r="B15" i="3"/>
  <c r="D18" i="3"/>
  <c r="D14" i="3"/>
  <c r="D10" i="3"/>
  <c r="D6" i="3"/>
  <c r="D19" i="3"/>
  <c r="C19" i="3"/>
  <c r="C7" i="3"/>
  <c r="B7" i="3"/>
  <c r="C18" i="3"/>
  <c r="C14" i="3"/>
  <c r="C10" i="3"/>
  <c r="C6" i="3"/>
  <c r="B14" i="3"/>
  <c r="B10" i="3"/>
  <c r="B6" i="3"/>
  <c r="D11" i="3"/>
  <c r="B11" i="3"/>
  <c r="B18" i="3"/>
  <c r="D15" i="3"/>
  <c r="D7" i="3"/>
  <c r="C15" i="3"/>
  <c r="C11" i="3"/>
  <c r="D17" i="3"/>
  <c r="D13" i="3"/>
  <c r="D9" i="3"/>
  <c r="C13" i="3"/>
  <c r="C9" i="3"/>
  <c r="C17" i="3"/>
  <c r="B17" i="3"/>
  <c r="B13" i="3"/>
  <c r="B9" i="3"/>
  <c r="D16" i="3"/>
  <c r="D12" i="3"/>
  <c r="D8" i="3"/>
  <c r="C16" i="3"/>
  <c r="C12" i="3"/>
  <c r="C8" i="3"/>
  <c r="B16" i="3"/>
  <c r="B12" i="3"/>
  <c r="B8" i="3"/>
</calcChain>
</file>

<file path=xl/sharedStrings.xml><?xml version="1.0" encoding="utf-8"?>
<sst xmlns="http://schemas.openxmlformats.org/spreadsheetml/2006/main" count="167" uniqueCount="127">
  <si>
    <t>G . H . O . S . T   |   PRIORITIZATION  —  HOW TO USE</t>
  </si>
  <si>
    <t>Score each game module 1–5 on every criterion, then model the highest Risk Scores first.</t>
  </si>
  <si>
    <t>THE SEVEN CRITERIA</t>
  </si>
  <si>
    <t>Code</t>
  </si>
  <si>
    <t>Criterion</t>
  </si>
  <si>
    <t>What it measures</t>
  </si>
  <si>
    <t>Weight</t>
  </si>
  <si>
    <t>PRI</t>
  </si>
  <si>
    <t>Business Priority</t>
  </si>
  <si>
    <t>Strategic and revenue importance</t>
  </si>
  <si>
    <t>20%</t>
  </si>
  <si>
    <t>RPE</t>
  </si>
  <si>
    <t>Regulatory Exposure</t>
  </si>
  <si>
    <t>GDPR, COPPA, DSA, OSA obligations</t>
  </si>
  <si>
    <t>15%</t>
  </si>
  <si>
    <t>UBC</t>
  </si>
  <si>
    <t>User-Base Coverage</t>
  </si>
  <si>
    <t>Proportion of users touching this surface</t>
  </si>
  <si>
    <t>AGE-X</t>
  </si>
  <si>
    <t>Age-Group Exposure</t>
  </si>
  <si>
    <t>Risk to or from vulnerable populations</t>
  </si>
  <si>
    <t>PP</t>
  </si>
  <si>
    <t>Propagation Potential</t>
  </si>
  <si>
    <t>Can threats spread to other surfaces?</t>
  </si>
  <si>
    <t>FE</t>
  </si>
  <si>
    <t>Financial Exposure</t>
  </si>
  <si>
    <t>Direct monetary risk to users or platform</t>
  </si>
  <si>
    <t>10%</t>
  </si>
  <si>
    <t>CIA</t>
  </si>
  <si>
    <t>CIA Impact</t>
  </si>
  <si>
    <t>Confidentiality, Integrity, Availability</t>
  </si>
  <si>
    <t>SCORING SCALE (1–5)</t>
  </si>
  <si>
    <t>1</t>
  </si>
  <si>
    <t>Negligible — minimal relevance on this criterion.</t>
  </si>
  <si>
    <t>2</t>
  </si>
  <si>
    <t>Low.</t>
  </si>
  <si>
    <t>3</t>
  </si>
  <si>
    <t>Moderate.</t>
  </si>
  <si>
    <t>4</t>
  </si>
  <si>
    <t>High.</t>
  </si>
  <si>
    <t>5</t>
  </si>
  <si>
    <t>Critical — maximum relevance; a dominant driver.</t>
  </si>
  <si>
    <t>HOW TO APPLY</t>
  </si>
  <si>
    <t>1.  Score each game module 1–5 on every criterion in the Prioritization sheet.</t>
  </si>
  <si>
    <t>2.  The weighted formula computes a Risk Score automatically (1.00–5.00).</t>
  </si>
  <si>
    <t>3.  Sort the table by Risk Score, descending — the Summary tab does this for you.</t>
  </si>
  <si>
    <t>4.  Instrument and threat-model the top of the list first.</t>
  </si>
  <si>
    <t>5.  Weights are tunable: edit row 7 (must sum to 1.00). What matters is AGE-X is in the formula.</t>
  </si>
  <si>
    <t>THE SIX GHOST SURFACES (for the Surface column)</t>
  </si>
  <si>
    <t>User</t>
  </si>
  <si>
    <t>Where an individual actor directly interacts with the platform.</t>
  </si>
  <si>
    <t>Interaction</t>
  </si>
  <si>
    <t>How actors interact with each other — chat, conflict, collaboration.</t>
  </si>
  <si>
    <t>Environment</t>
  </si>
  <si>
    <t>The shared, persistent state all actors operate within.</t>
  </si>
  <si>
    <t>Value</t>
  </si>
  <si>
    <t>Economy, assets, transactions, entitlements, transferable worth.</t>
  </si>
  <si>
    <t>Content</t>
  </si>
  <si>
    <t>Everything created, uploaded, or published by users or the system.</t>
  </si>
  <si>
    <t>Operations</t>
  </si>
  <si>
    <t>Backend services and infrastructure — the technical substrate.</t>
  </si>
  <si>
    <t>G . H . O . S . T   |   P R I O R I T I Z A T I O N</t>
  </si>
  <si>
    <t>Deciding what to model first  —  Game Module Scoring</t>
  </si>
  <si>
    <t>A risk-scoring matrix for deciding which game modules to instrument and threat-model first. AGE-X adds user-population vulnerability as a first-class driver.</t>
  </si>
  <si>
    <t>Risk Score  =  (.20 × PRI) + (.15 × RPE) + (.15 × UBC) + (.15 × AGE-X) + (.15 × PP) + (.10 × FE) + (.10 × CIA)</t>
  </si>
  <si>
    <t>WEIGHTS  ▸</t>
  </si>
  <si>
    <t>Σ</t>
  </si>
  <si>
    <t>Tunable per platform — must sum to 1.00</t>
  </si>
  <si>
    <t>ID</t>
  </si>
  <si>
    <t>Game Module / Component</t>
  </si>
  <si>
    <t>GHOST Surface</t>
  </si>
  <si>
    <t>Risk Score</t>
  </si>
  <si>
    <t>Rank</t>
  </si>
  <si>
    <t>Notes / Rationale</t>
  </si>
  <si>
    <t>M01</t>
  </si>
  <si>
    <t>Authoritative Game Server</t>
  </si>
  <si>
    <t>Server of record for all outcomes; broad blast radius.</t>
  </si>
  <si>
    <t>M02</t>
  </si>
  <si>
    <t>Matchmaking Service</t>
  </si>
  <si>
    <t>Touches every session; abuse routes players together.</t>
  </si>
  <si>
    <t>M03</t>
  </si>
  <si>
    <t>In-Game Text Chat</t>
  </si>
  <si>
    <t>High regulatory + minor-safety exposure (DSA/OSA/COPPA).</t>
  </si>
  <si>
    <t>M04</t>
  </si>
  <si>
    <t>Voice Chat</t>
  </si>
  <si>
    <t>Hard-to-moderate channel reaching minors.</t>
  </si>
  <si>
    <t>M05</t>
  </si>
  <si>
    <t>Player Identity / Profile</t>
  </si>
  <si>
    <t>PII + impersonation surface, near-universal reach.</t>
  </si>
  <si>
    <t>M06</t>
  </si>
  <si>
    <t>Trading / Marketplace</t>
  </si>
  <si>
    <t>Direct monetary risk; dupes propagate economy-wide.</t>
  </si>
  <si>
    <t>M07</t>
  </si>
  <si>
    <t>In-Game Store / Payments</t>
  </si>
  <si>
    <t>Real-money flow; payment + consumer-protection rules.</t>
  </si>
  <si>
    <t>M08</t>
  </si>
  <si>
    <t>Inventory / Economy Ledger</t>
  </si>
  <si>
    <t>Single source of value truth; duplication risk.</t>
  </si>
  <si>
    <t>M09</t>
  </si>
  <si>
    <t>Friends / Social Graph</t>
  </si>
  <si>
    <t>Vector for unsolicited contact with minors.</t>
  </si>
  <si>
    <t>M10</t>
  </si>
  <si>
    <t>Reporting &amp; Moderation</t>
  </si>
  <si>
    <t>Safety backbone; failure = unhandled harm.</t>
  </si>
  <si>
    <t>M11</t>
  </si>
  <si>
    <t>Leaderboards / Ranking</t>
  </si>
  <si>
    <t>Lower stakes; mostly integrity of display.</t>
  </si>
  <si>
    <t>M12</t>
  </si>
  <si>
    <t>RNG / Loot-Box System</t>
  </si>
  <si>
    <t>Gambling-adjacent; regulated and minor-sensitive.</t>
  </si>
  <si>
    <t>M13</t>
  </si>
  <si>
    <t>Authentication / Login</t>
  </si>
  <si>
    <t>Gatekeeper for everything; account-takeover root.</t>
  </si>
  <si>
    <t>M14</t>
  </si>
  <si>
    <t>User-Generated Content / Uploads</t>
  </si>
  <si>
    <t>Explicit-content gating; spreads across surfaces.</t>
  </si>
  <si>
    <t>AGE-X — THE INTENTIONAL ADDITION</t>
  </si>
  <si>
    <t>Most risk-scoring matrices ignore who the users are. For platforms serving minors or at-risk players, treat Age-Group Exposure as a first-class risk driver — not an optional secondary concern.</t>
  </si>
  <si>
    <t>G . H . O . S . T   |   MODEL-FIRST ORDER</t>
  </si>
  <si>
    <t>Updates automatically from the Prioritization sheet. Top of the list = model first.</t>
  </si>
  <si>
    <t>RANKED MODULES (highest Risk Score first)</t>
  </si>
  <si>
    <t>Order</t>
  </si>
  <si>
    <t>Game Module</t>
  </si>
  <si>
    <t>Surface</t>
  </si>
  <si>
    <t>SURFACE PROFILE</t>
  </si>
  <si>
    <t>Modules</t>
  </si>
  <si>
    <t>Avg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</si>
</sst>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4"/>
      <color rgb="FF08F4D6"/>
      <name val="Calibri"/>
      <charset val="1"/>
    </font>
    <font>
      <i/>
      <sz val="11"/>
      <color rgb="FFD0D0D8"/>
      <name val="Calibri"/>
      <charset val="1"/>
    </font>
    <font>
      <b/>
      <sz val="11"/>
      <color rgb="FF08F4D6"/>
      <name val="Calibri"/>
      <charset val="1"/>
    </font>
    <font>
      <b/>
      <sz val="10"/>
      <color rgb="FF08F4D6"/>
      <name val="Calibri"/>
      <charset val="1"/>
    </font>
    <font>
      <b/>
      <sz val="10.5"/>
      <color rgb="FF08F4D6"/>
      <name val="Calibri"/>
      <charset val="1"/>
    </font>
    <font>
      <sz val="10.5"/>
      <color rgb="FFFFFFFF"/>
      <name val="Calibri"/>
      <charset val="1"/>
    </font>
    <font>
      <sz val="10.5"/>
      <color rgb="FFD0D0D8"/>
      <name val="Calibri"/>
      <charset val="1"/>
    </font>
    <font>
      <b/>
      <sz val="10.5"/>
      <color rgb="FFFFFFFF"/>
      <name val="Calibri"/>
      <charset val="1"/>
    </font>
    <font>
      <b/>
      <sz val="10.5"/>
      <color rgb="FFE8943A"/>
      <name val="Calibri"/>
      <charset val="1"/>
    </font>
    <font>
      <b/>
      <sz val="13"/>
      <color rgb="FF08F4D6"/>
      <name val="Calibri"/>
      <charset val="1"/>
    </font>
    <font>
      <b/>
      <sz val="20"/>
      <color rgb="FF08F4D6"/>
      <name val="Calibri"/>
      <charset val="1"/>
    </font>
    <font>
      <b/>
      <sz val="12"/>
      <color rgb="FF08F4D6"/>
      <name val="Calibri"/>
      <charset val="1"/>
    </font>
    <font>
      <b/>
      <sz val="10"/>
      <color rgb="FFE8943A"/>
      <name val="Calibri"/>
      <charset val="1"/>
    </font>
    <font>
      <i/>
      <sz val="9.5"/>
      <color rgb="FFD0D0D8"/>
      <name val="Calibri"/>
      <charset val="1"/>
    </font>
    <font>
      <b/>
      <sz val="11"/>
      <color rgb="FF9CC3FF"/>
      <name val="Calibri"/>
      <charset val="1"/>
    </font>
    <font>
      <b/>
      <sz val="11"/>
      <color rgb="FFFFFFFF"/>
      <name val="Calibri"/>
      <charset val="1"/>
    </font>
    <font>
      <sz val="11"/>
      <color rgb="FF9CC3FF"/>
      <name val="Calibri"/>
      <charset val="1"/>
    </font>
    <font>
      <b/>
      <sz val="12"/>
      <color rgb="FFFFFFFF"/>
      <name val="Calibri"/>
      <charset val="1"/>
    </font>
    <font>
      <sz val="10"/>
      <color rgb="FFD0D0D8"/>
      <name val="Calibri"/>
      <charset val="1"/>
    </font>
    <font>
      <i/>
      <sz val="10"/>
      <color rgb="FFD0D0D8"/>
      <name val="Calibri"/>
      <charset val="1"/>
    </font>
    <font>
      <b/>
      <sz val="11"/>
      <color rgb="FFE8943A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0B1220"/>
        <bgColor rgb="FF1F1810"/>
      </patternFill>
    </fill>
    <fill>
      <patternFill patternType="solid">
        <fgColor rgb="FF1A2540"/>
        <bgColor rgb="FF243049"/>
      </patternFill>
    </fill>
    <fill>
      <patternFill patternType="solid">
        <fgColor rgb="FF1F1810"/>
        <bgColor rgb="FF0B1220"/>
      </patternFill>
    </fill>
  </fills>
  <borders count="4">
    <border>
      <left/>
      <right/>
      <top/>
      <bottom/>
      <diagonal/>
    </border>
    <border>
      <left/>
      <right/>
      <top/>
      <bottom style="thin">
        <color rgb="FF243049"/>
      </bottom>
      <diagonal/>
    </border>
    <border>
      <left/>
      <right/>
      <top/>
      <bottom style="medium">
        <color rgb="FF08F4D6"/>
      </bottom>
      <diagonal/>
    </border>
    <border>
      <left style="medium">
        <color rgb="FFE8943A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7" fillId="2" borderId="0" xfId="0" applyFont="1" applyFill="1"/>
    <xf numFmtId="0" fontId="3" fillId="3" borderId="0" xfId="0" applyFont="1" applyFill="1"/>
    <xf numFmtId="0" fontId="1" fillId="2" borderId="0" xfId="0" applyFont="1" applyFill="1"/>
    <xf numFmtId="0" fontId="20" fillId="2" borderId="3" xfId="0" applyFont="1" applyFill="1" applyBorder="1" applyAlignment="1">
      <alignment vertical="top" wrapText="1"/>
    </xf>
    <xf numFmtId="0" fontId="13" fillId="2" borderId="3" xfId="0" applyFont="1" applyFill="1" applyBorder="1"/>
    <xf numFmtId="0" fontId="4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right" vertical="center"/>
    </xf>
    <xf numFmtId="0" fontId="12" fillId="3" borderId="0" xfId="0" applyFont="1" applyFill="1" applyAlignment="1">
      <alignment vertical="center" indent="1"/>
    </xf>
    <xf numFmtId="0" fontId="2" fillId="2" borderId="0" xfId="0" applyFont="1" applyFill="1"/>
    <xf numFmtId="0" fontId="11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0" fillId="2" borderId="0" xfId="0" applyFill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0" fillId="2" borderId="1" xfId="0" applyFill="1" applyBorder="1"/>
    <xf numFmtId="0" fontId="9" fillId="4" borderId="1" xfId="0" applyFont="1" applyFill="1" applyBorder="1"/>
    <xf numFmtId="0" fontId="8" fillId="4" borderId="1" xfId="0" applyFont="1" applyFill="1" applyBorder="1"/>
    <xf numFmtId="0" fontId="7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/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6" fillId="3" borderId="0" xfId="0" applyNumberFormat="1" applyFont="1" applyFill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2" fontId="18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 wrapText="1"/>
    </xf>
    <xf numFmtId="0" fontId="19" fillId="0" borderId="0" xfId="0" applyFont="1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16" fillId="2" borderId="1" xfId="0" applyFont="1" applyFill="1" applyBorder="1"/>
    <xf numFmtId="0" fontId="7" fillId="2" borderId="1" xfId="0" applyFont="1" applyFill="1" applyBorder="1" applyAlignment="1">
      <alignment horizontal="center"/>
    </xf>
    <xf numFmtId="2" fontId="18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8F4D6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3FF"/>
      <rgbColor rgb="FFFF99CC"/>
      <rgbColor rgb="FFCC99FF"/>
      <rgbColor rgb="FFFFCC99"/>
      <rgbColor rgb="FF3366FF"/>
      <rgbColor rgb="FF33CCCC"/>
      <rgbColor rgb="FF99CC00"/>
      <rgbColor rgb="FFFFCC00"/>
      <rgbColor rgb="FFE8943A"/>
      <rgbColor rgb="FFFF6600"/>
      <rgbColor rgb="FF666699"/>
      <rgbColor rgb="FF969696"/>
      <rgbColor rgb="FF1A2540"/>
      <rgbColor rgb="FF339966"/>
      <rgbColor rgb="FF0B1220"/>
      <rgbColor rgb="FF1F1810"/>
      <rgbColor rgb="FF993300"/>
      <rgbColor rgb="FF993366"/>
      <rgbColor rgb="FF333399"/>
      <rgbColor rgb="FF2430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tabSelected="1" topLeftCell="A3" zoomScaleNormal="100" workbookViewId="0">
      <selection activeCell="H14" sqref="H14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40" customWidth="1"/>
    <col min="4" max="4" width="10" customWidth="1"/>
    <col min="5" max="5" width="14" customWidth="1"/>
  </cols>
  <sheetData>
    <row r="1" spans="1:5" ht="25.5" customHeight="1" x14ac:dyDescent="0.45">
      <c r="A1" s="3" t="s">
        <v>0</v>
      </c>
      <c r="B1" s="3"/>
      <c r="C1" s="3"/>
      <c r="D1" s="3"/>
      <c r="E1" s="3"/>
    </row>
    <row r="2" spans="1:5" x14ac:dyDescent="0.35">
      <c r="A2" s="9" t="s">
        <v>1</v>
      </c>
      <c r="B2" s="9"/>
      <c r="C2" s="9"/>
      <c r="D2" s="9"/>
      <c r="E2" s="9"/>
    </row>
    <row r="3" spans="1:5" x14ac:dyDescent="0.35">
      <c r="A3" s="12"/>
      <c r="B3" s="12"/>
      <c r="C3" s="12"/>
      <c r="D3" s="12"/>
      <c r="E3" s="12"/>
    </row>
    <row r="4" spans="1:5" ht="21.75" customHeight="1" x14ac:dyDescent="0.35">
      <c r="A4" s="2" t="s">
        <v>2</v>
      </c>
      <c r="B4" s="2"/>
      <c r="C4" s="2"/>
      <c r="D4" s="2"/>
      <c r="E4" s="2"/>
    </row>
    <row r="5" spans="1:5" x14ac:dyDescent="0.35">
      <c r="A5" s="13" t="s">
        <v>3</v>
      </c>
      <c r="B5" s="13" t="s">
        <v>4</v>
      </c>
      <c r="C5" s="13" t="s">
        <v>5</v>
      </c>
      <c r="D5" s="14" t="s">
        <v>6</v>
      </c>
      <c r="E5" s="12"/>
    </row>
    <row r="6" spans="1:5" x14ac:dyDescent="0.35">
      <c r="A6" s="15" t="s">
        <v>7</v>
      </c>
      <c r="B6" s="16" t="s">
        <v>8</v>
      </c>
      <c r="C6" s="17" t="s">
        <v>9</v>
      </c>
      <c r="D6" s="18" t="s">
        <v>10</v>
      </c>
      <c r="E6" s="19"/>
    </row>
    <row r="7" spans="1:5" x14ac:dyDescent="0.35">
      <c r="A7" s="15" t="s">
        <v>11</v>
      </c>
      <c r="B7" s="16" t="s">
        <v>12</v>
      </c>
      <c r="C7" s="17" t="s">
        <v>13</v>
      </c>
      <c r="D7" s="18" t="s">
        <v>14</v>
      </c>
      <c r="E7" s="19"/>
    </row>
    <row r="8" spans="1:5" x14ac:dyDescent="0.35">
      <c r="A8" s="15" t="s">
        <v>15</v>
      </c>
      <c r="B8" s="16" t="s">
        <v>16</v>
      </c>
      <c r="C8" s="17" t="s">
        <v>17</v>
      </c>
      <c r="D8" s="18" t="s">
        <v>14</v>
      </c>
      <c r="E8" s="19"/>
    </row>
    <row r="9" spans="1:5" x14ac:dyDescent="0.35">
      <c r="A9" s="20" t="s">
        <v>18</v>
      </c>
      <c r="B9" s="21" t="s">
        <v>19</v>
      </c>
      <c r="C9" s="22" t="s">
        <v>20</v>
      </c>
      <c r="D9" s="23" t="s">
        <v>14</v>
      </c>
      <c r="E9" s="19"/>
    </row>
    <row r="10" spans="1:5" x14ac:dyDescent="0.35">
      <c r="A10" s="15" t="s">
        <v>21</v>
      </c>
      <c r="B10" s="16" t="s">
        <v>22</v>
      </c>
      <c r="C10" s="17" t="s">
        <v>23</v>
      </c>
      <c r="D10" s="18" t="s">
        <v>14</v>
      </c>
      <c r="E10" s="19"/>
    </row>
    <row r="11" spans="1:5" x14ac:dyDescent="0.35">
      <c r="A11" s="15" t="s">
        <v>24</v>
      </c>
      <c r="B11" s="16" t="s">
        <v>25</v>
      </c>
      <c r="C11" s="17" t="s">
        <v>26</v>
      </c>
      <c r="D11" s="18" t="s">
        <v>27</v>
      </c>
      <c r="E11" s="19"/>
    </row>
    <row r="12" spans="1:5" x14ac:dyDescent="0.35">
      <c r="A12" s="15" t="s">
        <v>28</v>
      </c>
      <c r="B12" s="16" t="s">
        <v>29</v>
      </c>
      <c r="C12" s="17" t="s">
        <v>30</v>
      </c>
      <c r="D12" s="18" t="s">
        <v>27</v>
      </c>
      <c r="E12" s="19"/>
    </row>
    <row r="13" spans="1:5" x14ac:dyDescent="0.35">
      <c r="A13" s="12"/>
      <c r="B13" s="12"/>
      <c r="C13" s="12"/>
      <c r="D13" s="12"/>
      <c r="E13" s="12"/>
    </row>
    <row r="14" spans="1:5" ht="21.75" customHeight="1" x14ac:dyDescent="0.35">
      <c r="A14" s="2" t="s">
        <v>31</v>
      </c>
      <c r="B14" s="2"/>
      <c r="C14" s="2"/>
      <c r="D14" s="2"/>
      <c r="E14" s="2"/>
    </row>
    <row r="15" spans="1:5" x14ac:dyDescent="0.35">
      <c r="A15" s="24" t="s">
        <v>32</v>
      </c>
      <c r="B15" s="1" t="s">
        <v>33</v>
      </c>
      <c r="C15" s="1"/>
      <c r="D15" s="1"/>
      <c r="E15" s="1"/>
    </row>
    <row r="16" spans="1:5" x14ac:dyDescent="0.35">
      <c r="A16" s="24" t="s">
        <v>34</v>
      </c>
      <c r="B16" s="1" t="s">
        <v>35</v>
      </c>
      <c r="C16" s="1"/>
      <c r="D16" s="1"/>
      <c r="E16" s="1"/>
    </row>
    <row r="17" spans="1:5" x14ac:dyDescent="0.35">
      <c r="A17" s="24" t="s">
        <v>36</v>
      </c>
      <c r="B17" s="1" t="s">
        <v>37</v>
      </c>
      <c r="C17" s="1"/>
      <c r="D17" s="1"/>
      <c r="E17" s="1"/>
    </row>
    <row r="18" spans="1:5" x14ac:dyDescent="0.35">
      <c r="A18" s="24" t="s">
        <v>38</v>
      </c>
      <c r="B18" s="1" t="s">
        <v>39</v>
      </c>
      <c r="C18" s="1"/>
      <c r="D18" s="1"/>
      <c r="E18" s="1"/>
    </row>
    <row r="19" spans="1:5" x14ac:dyDescent="0.35">
      <c r="A19" s="24" t="s">
        <v>40</v>
      </c>
      <c r="B19" s="1" t="s">
        <v>41</v>
      </c>
      <c r="C19" s="1"/>
      <c r="D19" s="1"/>
      <c r="E19" s="1"/>
    </row>
    <row r="20" spans="1:5" x14ac:dyDescent="0.35">
      <c r="A20" s="12"/>
      <c r="B20" s="12"/>
      <c r="C20" s="12"/>
      <c r="D20" s="12"/>
      <c r="E20" s="12"/>
    </row>
    <row r="21" spans="1:5" ht="21.75" customHeight="1" x14ac:dyDescent="0.35">
      <c r="A21" s="2" t="s">
        <v>42</v>
      </c>
      <c r="B21" s="2"/>
      <c r="C21" s="2"/>
      <c r="D21" s="2"/>
      <c r="E21" s="2"/>
    </row>
    <row r="22" spans="1:5" x14ac:dyDescent="0.35">
      <c r="A22" s="1" t="s">
        <v>43</v>
      </c>
      <c r="B22" s="1"/>
      <c r="C22" s="1"/>
      <c r="D22" s="1"/>
      <c r="E22" s="1"/>
    </row>
    <row r="23" spans="1:5" x14ac:dyDescent="0.35">
      <c r="A23" s="1" t="s">
        <v>44</v>
      </c>
      <c r="B23" s="1"/>
      <c r="C23" s="1"/>
      <c r="D23" s="1"/>
      <c r="E23" s="1"/>
    </row>
    <row r="24" spans="1:5" x14ac:dyDescent="0.35">
      <c r="A24" s="1" t="s">
        <v>45</v>
      </c>
      <c r="B24" s="1"/>
      <c r="C24" s="1"/>
      <c r="D24" s="1"/>
      <c r="E24" s="1"/>
    </row>
    <row r="25" spans="1:5" x14ac:dyDescent="0.35">
      <c r="A25" s="1" t="s">
        <v>46</v>
      </c>
      <c r="B25" s="1"/>
      <c r="C25" s="1"/>
      <c r="D25" s="1"/>
      <c r="E25" s="1"/>
    </row>
    <row r="26" spans="1:5" x14ac:dyDescent="0.35">
      <c r="A26" s="1" t="s">
        <v>47</v>
      </c>
      <c r="B26" s="1"/>
      <c r="C26" s="1"/>
      <c r="D26" s="1"/>
      <c r="E26" s="1"/>
    </row>
    <row r="27" spans="1:5" x14ac:dyDescent="0.35">
      <c r="A27" s="12"/>
      <c r="B27" s="12"/>
      <c r="C27" s="12"/>
      <c r="D27" s="12"/>
      <c r="E27" s="12"/>
    </row>
    <row r="28" spans="1:5" ht="21.75" customHeight="1" x14ac:dyDescent="0.35">
      <c r="A28" s="2" t="s">
        <v>48</v>
      </c>
      <c r="B28" s="2"/>
      <c r="C28" s="2"/>
      <c r="D28" s="2"/>
      <c r="E28" s="2"/>
    </row>
    <row r="29" spans="1:5" x14ac:dyDescent="0.35">
      <c r="A29" s="25" t="s">
        <v>49</v>
      </c>
      <c r="B29" s="1" t="s">
        <v>50</v>
      </c>
      <c r="C29" s="1"/>
      <c r="D29" s="1"/>
      <c r="E29" s="1"/>
    </row>
    <row r="30" spans="1:5" x14ac:dyDescent="0.35">
      <c r="A30" s="25" t="s">
        <v>51</v>
      </c>
      <c r="B30" s="1" t="s">
        <v>52</v>
      </c>
      <c r="C30" s="1"/>
      <c r="D30" s="1"/>
      <c r="E30" s="1"/>
    </row>
    <row r="31" spans="1:5" x14ac:dyDescent="0.35">
      <c r="A31" s="25" t="s">
        <v>53</v>
      </c>
      <c r="B31" s="1" t="s">
        <v>54</v>
      </c>
      <c r="C31" s="1"/>
      <c r="D31" s="1"/>
      <c r="E31" s="1"/>
    </row>
    <row r="32" spans="1:5" x14ac:dyDescent="0.35">
      <c r="A32" s="25" t="s">
        <v>55</v>
      </c>
      <c r="B32" s="1" t="s">
        <v>56</v>
      </c>
      <c r="C32" s="1"/>
      <c r="D32" s="1"/>
      <c r="E32" s="1"/>
    </row>
    <row r="33" spans="1:5" x14ac:dyDescent="0.35">
      <c r="A33" s="25" t="s">
        <v>57</v>
      </c>
      <c r="B33" s="1" t="s">
        <v>58</v>
      </c>
      <c r="C33" s="1"/>
      <c r="D33" s="1"/>
      <c r="E33" s="1"/>
    </row>
    <row r="34" spans="1:5" x14ac:dyDescent="0.35">
      <c r="A34" s="25" t="s">
        <v>59</v>
      </c>
      <c r="B34" s="1" t="s">
        <v>60</v>
      </c>
      <c r="C34" s="1"/>
      <c r="D34" s="1"/>
      <c r="E34" s="1"/>
    </row>
    <row r="35" spans="1:5" x14ac:dyDescent="0.35">
      <c r="A35" s="12"/>
      <c r="B35" s="12"/>
      <c r="C35" s="12"/>
      <c r="D35" s="12"/>
      <c r="E35" s="12"/>
    </row>
    <row r="36" spans="1:5" x14ac:dyDescent="0.35">
      <c r="A36" s="12"/>
      <c r="B36" s="12"/>
      <c r="C36" s="12"/>
      <c r="D36" s="12"/>
      <c r="E36" s="12"/>
    </row>
    <row r="37" spans="1:5" x14ac:dyDescent="0.35">
      <c r="A37" s="12"/>
      <c r="B37" s="12"/>
      <c r="C37" s="12"/>
      <c r="D37" s="12"/>
      <c r="E37" s="12"/>
    </row>
    <row r="38" spans="1:5" x14ac:dyDescent="0.35">
      <c r="A38" s="12"/>
      <c r="B38" s="12"/>
      <c r="C38" s="12"/>
      <c r="D38" s="12"/>
      <c r="E38" s="12"/>
    </row>
    <row r="39" spans="1:5" x14ac:dyDescent="0.35">
      <c r="A39" s="12"/>
      <c r="B39" s="12"/>
      <c r="C39" s="12"/>
      <c r="D39" s="12"/>
      <c r="E39" s="12"/>
    </row>
  </sheetData>
  <mergeCells count="22">
    <mergeCell ref="B33:E33"/>
    <mergeCell ref="B34:E34"/>
    <mergeCell ref="A28:E28"/>
    <mergeCell ref="B29:E29"/>
    <mergeCell ref="B30:E30"/>
    <mergeCell ref="B31:E31"/>
    <mergeCell ref="B32:E32"/>
    <mergeCell ref="A22:E22"/>
    <mergeCell ref="A23:E23"/>
    <mergeCell ref="A24:E24"/>
    <mergeCell ref="A25:E25"/>
    <mergeCell ref="A26:E26"/>
    <mergeCell ref="B16:E16"/>
    <mergeCell ref="B17:E17"/>
    <mergeCell ref="B18:E18"/>
    <mergeCell ref="B19:E19"/>
    <mergeCell ref="A21:E21"/>
    <mergeCell ref="A1:E1"/>
    <mergeCell ref="A2:E2"/>
    <mergeCell ref="A4:E4"/>
    <mergeCell ref="A14:E14"/>
    <mergeCell ref="B15:E15"/>
  </mergeCells>
  <pageMargins left="0.75" right="0.75" top="1" bottom="1" header="0.511811023622047" footer="0.511811023622047"/>
  <pageSetup paperSize="9" orientation="portrait" horizontalDpi="300" verticalDpi="300"/>
  <ignoredErrors>
    <ignoredError sqref="D6:D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F4D6"/>
  </sheetPr>
  <dimension ref="A1:O39"/>
  <sheetViews>
    <sheetView showGridLines="0"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K14" sqref="K14"/>
    </sheetView>
  </sheetViews>
  <sheetFormatPr defaultColWidth="8.6328125" defaultRowHeight="14.5" x14ac:dyDescent="0.35"/>
  <cols>
    <col min="1" max="1" width="7" customWidth="1"/>
    <col min="2" max="2" width="30" customWidth="1"/>
    <col min="3" max="3" width="16" customWidth="1"/>
    <col min="4" max="6" width="7" customWidth="1"/>
    <col min="7" max="7" width="9" customWidth="1"/>
    <col min="8" max="10" width="7" customWidth="1"/>
    <col min="11" max="11" width="12" customWidth="1"/>
    <col min="12" max="12" width="7" customWidth="1"/>
    <col min="13" max="13" width="46" customWidth="1"/>
    <col min="15" max="15" width="13" hidden="1" customWidth="1"/>
  </cols>
  <sheetData>
    <row r="1" spans="1:15" ht="25.5" customHeight="1" x14ac:dyDescent="0.35">
      <c r="A1" s="11" t="s">
        <v>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5" ht="33.75" customHeight="1" x14ac:dyDescent="0.35">
      <c r="A2" s="10" t="s">
        <v>62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5" ht="18" customHeight="1" x14ac:dyDescent="0.35">
      <c r="A3" s="9" t="s">
        <v>63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5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5" ht="27.75" customHeight="1" x14ac:dyDescent="0.35">
      <c r="A5" s="8" t="s">
        <v>64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 x14ac:dyDescent="0.35">
      <c r="A6" s="26" t="s">
        <v>65</v>
      </c>
      <c r="B6" s="12"/>
      <c r="C6" s="12"/>
      <c r="D6" s="27" t="s">
        <v>7</v>
      </c>
      <c r="E6" s="27" t="s">
        <v>11</v>
      </c>
      <c r="F6" s="27" t="s">
        <v>15</v>
      </c>
      <c r="G6" s="28" t="s">
        <v>18</v>
      </c>
      <c r="H6" s="27" t="s">
        <v>21</v>
      </c>
      <c r="I6" s="27" t="s">
        <v>24</v>
      </c>
      <c r="J6" s="27" t="s">
        <v>28</v>
      </c>
      <c r="K6" s="27" t="s">
        <v>66</v>
      </c>
      <c r="L6" s="12"/>
      <c r="M6" s="12"/>
    </row>
    <row r="7" spans="1:15" x14ac:dyDescent="0.35">
      <c r="A7" s="7" t="s">
        <v>67</v>
      </c>
      <c r="B7" s="7"/>
      <c r="C7" s="7"/>
      <c r="D7" s="29">
        <v>0.2</v>
      </c>
      <c r="E7" s="29">
        <v>0.15</v>
      </c>
      <c r="F7" s="29">
        <v>0.15</v>
      </c>
      <c r="G7" s="29">
        <v>0.15</v>
      </c>
      <c r="H7" s="29">
        <v>0.15</v>
      </c>
      <c r="I7" s="29">
        <v>0.1</v>
      </c>
      <c r="J7" s="29">
        <v>0.1</v>
      </c>
      <c r="K7" s="30">
        <f>SUM(D7:J7)</f>
        <v>1</v>
      </c>
      <c r="L7" s="6" t="str">
        <f>IF(ROUND(K7,4)=1,"✓ balanced","⚠ ≠ 1.00")</f>
        <v>✓ balanced</v>
      </c>
      <c r="M7" s="6"/>
    </row>
    <row r="8" spans="1:15" x14ac:dyDescent="0.3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5" ht="30" customHeight="1" x14ac:dyDescent="0.35">
      <c r="A9" s="31" t="s">
        <v>68</v>
      </c>
      <c r="B9" s="32" t="s">
        <v>69</v>
      </c>
      <c r="C9" s="32" t="s">
        <v>70</v>
      </c>
      <c r="D9" s="31" t="s">
        <v>7</v>
      </c>
      <c r="E9" s="31" t="s">
        <v>11</v>
      </c>
      <c r="F9" s="31" t="s">
        <v>15</v>
      </c>
      <c r="G9" s="33" t="s">
        <v>18</v>
      </c>
      <c r="H9" s="31" t="s">
        <v>21</v>
      </c>
      <c r="I9" s="31" t="s">
        <v>24</v>
      </c>
      <c r="J9" s="31" t="s">
        <v>28</v>
      </c>
      <c r="K9" s="31" t="s">
        <v>71</v>
      </c>
      <c r="L9" s="31" t="s">
        <v>72</v>
      </c>
      <c r="M9" s="32" t="s">
        <v>73</v>
      </c>
    </row>
    <row r="10" spans="1:15" ht="30" customHeight="1" x14ac:dyDescent="0.35">
      <c r="A10" s="34" t="s">
        <v>74</v>
      </c>
      <c r="B10" s="35" t="s">
        <v>75</v>
      </c>
      <c r="C10" s="36" t="s">
        <v>53</v>
      </c>
      <c r="D10" s="37">
        <v>5</v>
      </c>
      <c r="E10" s="37">
        <v>2</v>
      </c>
      <c r="F10" s="37">
        <v>5</v>
      </c>
      <c r="G10" s="37">
        <v>3</v>
      </c>
      <c r="H10" s="37">
        <v>5</v>
      </c>
      <c r="I10" s="37">
        <v>3</v>
      </c>
      <c r="J10" s="37">
        <v>5</v>
      </c>
      <c r="K10" s="38">
        <f t="shared" ref="K10:K28" si="0">IF(COUNT(D10:J10)=0,"",ROUND(SUMPRODUCT(D10:J10,$D$7:$J$7),2))</f>
        <v>4.05</v>
      </c>
      <c r="L10" s="39">
        <f t="shared" ref="L10:L28" si="1">IF(K10="","",RANK(K10,$K$10:$K$28))</f>
        <v>1</v>
      </c>
      <c r="M10" s="40" t="s">
        <v>76</v>
      </c>
      <c r="O10" s="41">
        <f>IF(K10="","",RANK(K10,$K$10:$K$28)+COUNTIF($K$10:K10,K10)-1)</f>
        <v>1</v>
      </c>
    </row>
    <row r="11" spans="1:15" ht="30" customHeight="1" x14ac:dyDescent="0.35">
      <c r="A11" s="34" t="s">
        <v>77</v>
      </c>
      <c r="B11" s="35" t="s">
        <v>78</v>
      </c>
      <c r="C11" s="36" t="s">
        <v>53</v>
      </c>
      <c r="D11" s="37">
        <v>4</v>
      </c>
      <c r="E11" s="37">
        <v>2</v>
      </c>
      <c r="F11" s="37">
        <v>5</v>
      </c>
      <c r="G11" s="37">
        <v>3</v>
      </c>
      <c r="H11" s="37">
        <v>3</v>
      </c>
      <c r="I11" s="37">
        <v>2</v>
      </c>
      <c r="J11" s="37">
        <v>3</v>
      </c>
      <c r="K11" s="38">
        <f t="shared" si="0"/>
        <v>3.25</v>
      </c>
      <c r="L11" s="39">
        <f t="shared" si="1"/>
        <v>10</v>
      </c>
      <c r="M11" s="40" t="s">
        <v>79</v>
      </c>
      <c r="O11" s="41">
        <f>IF(K11="","",RANK(K11,$K$10:$K$28)+COUNTIF($K$10:K11,K11)-1)</f>
        <v>10</v>
      </c>
    </row>
    <row r="12" spans="1:15" ht="30" customHeight="1" x14ac:dyDescent="0.35">
      <c r="A12" s="34" t="s">
        <v>80</v>
      </c>
      <c r="B12" s="35" t="s">
        <v>81</v>
      </c>
      <c r="C12" s="36" t="s">
        <v>51</v>
      </c>
      <c r="D12" s="37">
        <v>3</v>
      </c>
      <c r="E12" s="37">
        <v>5</v>
      </c>
      <c r="F12" s="37">
        <v>5</v>
      </c>
      <c r="G12" s="37">
        <v>5</v>
      </c>
      <c r="H12" s="37">
        <v>3</v>
      </c>
      <c r="I12" s="37">
        <v>1</v>
      </c>
      <c r="J12" s="37">
        <v>2</v>
      </c>
      <c r="K12" s="38">
        <f t="shared" si="0"/>
        <v>3.6</v>
      </c>
      <c r="L12" s="39">
        <f t="shared" si="1"/>
        <v>7</v>
      </c>
      <c r="M12" s="40" t="s">
        <v>82</v>
      </c>
      <c r="O12" s="41">
        <f>IF(K12="","",RANK(K12,$K$10:$K$28)+COUNTIF($K$10:K12,K12)-1)</f>
        <v>7</v>
      </c>
    </row>
    <row r="13" spans="1:15" ht="30" customHeight="1" x14ac:dyDescent="0.35">
      <c r="A13" s="34" t="s">
        <v>83</v>
      </c>
      <c r="B13" s="35" t="s">
        <v>84</v>
      </c>
      <c r="C13" s="36" t="s">
        <v>51</v>
      </c>
      <c r="D13" s="37">
        <v>3</v>
      </c>
      <c r="E13" s="37">
        <v>4</v>
      </c>
      <c r="F13" s="37">
        <v>4</v>
      </c>
      <c r="G13" s="37">
        <v>5</v>
      </c>
      <c r="H13" s="37">
        <v>2</v>
      </c>
      <c r="I13" s="37">
        <v>1</v>
      </c>
      <c r="J13" s="37">
        <v>2</v>
      </c>
      <c r="K13" s="38">
        <f t="shared" si="0"/>
        <v>3.15</v>
      </c>
      <c r="L13" s="39">
        <f t="shared" si="1"/>
        <v>12</v>
      </c>
      <c r="M13" s="40" t="s">
        <v>85</v>
      </c>
      <c r="O13" s="41">
        <f>IF(K13="","",RANK(K13,$K$10:$K$28)+COUNTIF($K$10:K13,K13)-1)</f>
        <v>12</v>
      </c>
    </row>
    <row r="14" spans="1:15" ht="30" customHeight="1" x14ac:dyDescent="0.35">
      <c r="A14" s="34" t="s">
        <v>86</v>
      </c>
      <c r="B14" s="35" t="s">
        <v>87</v>
      </c>
      <c r="C14" s="36" t="s">
        <v>49</v>
      </c>
      <c r="D14" s="37">
        <v>4</v>
      </c>
      <c r="E14" s="37">
        <v>5</v>
      </c>
      <c r="F14" s="37">
        <v>5</v>
      </c>
      <c r="G14" s="37">
        <v>4</v>
      </c>
      <c r="H14" s="37">
        <v>3</v>
      </c>
      <c r="I14" s="37">
        <v>2</v>
      </c>
      <c r="J14" s="37">
        <v>4</v>
      </c>
      <c r="K14" s="38">
        <f t="shared" si="0"/>
        <v>3.95</v>
      </c>
      <c r="L14" s="39">
        <f t="shared" si="1"/>
        <v>3</v>
      </c>
      <c r="M14" s="40" t="s">
        <v>88</v>
      </c>
      <c r="O14" s="41">
        <f>IF(K14="","",RANK(K14,$K$10:$K$28)+COUNTIF($K$10:K14,K14)-1)</f>
        <v>3</v>
      </c>
    </row>
    <row r="15" spans="1:15" ht="30" customHeight="1" x14ac:dyDescent="0.35">
      <c r="A15" s="34" t="s">
        <v>89</v>
      </c>
      <c r="B15" s="35" t="s">
        <v>90</v>
      </c>
      <c r="C15" s="36" t="s">
        <v>55</v>
      </c>
      <c r="D15" s="37">
        <v>5</v>
      </c>
      <c r="E15" s="37">
        <v>3</v>
      </c>
      <c r="F15" s="37">
        <v>3</v>
      </c>
      <c r="G15" s="37">
        <v>2</v>
      </c>
      <c r="H15" s="37">
        <v>4</v>
      </c>
      <c r="I15" s="37">
        <v>5</v>
      </c>
      <c r="J15" s="37">
        <v>5</v>
      </c>
      <c r="K15" s="38">
        <f t="shared" si="0"/>
        <v>3.8</v>
      </c>
      <c r="L15" s="39">
        <f t="shared" si="1"/>
        <v>6</v>
      </c>
      <c r="M15" s="40" t="s">
        <v>91</v>
      </c>
      <c r="O15" s="41">
        <f>IF(K15="","",RANK(K15,$K$10:$K$28)+COUNTIF($K$10:K15,K15)-1)</f>
        <v>6</v>
      </c>
    </row>
    <row r="16" spans="1:15" ht="30" customHeight="1" x14ac:dyDescent="0.35">
      <c r="A16" s="34" t="s">
        <v>92</v>
      </c>
      <c r="B16" s="35" t="s">
        <v>93</v>
      </c>
      <c r="C16" s="36" t="s">
        <v>55</v>
      </c>
      <c r="D16" s="37">
        <v>5</v>
      </c>
      <c r="E16" s="37">
        <v>4</v>
      </c>
      <c r="F16" s="37">
        <v>4</v>
      </c>
      <c r="G16" s="37">
        <v>3</v>
      </c>
      <c r="H16" s="37">
        <v>2</v>
      </c>
      <c r="I16" s="37">
        <v>5</v>
      </c>
      <c r="J16" s="37">
        <v>5</v>
      </c>
      <c r="K16" s="38">
        <f t="shared" si="0"/>
        <v>3.95</v>
      </c>
      <c r="L16" s="39">
        <f t="shared" si="1"/>
        <v>3</v>
      </c>
      <c r="M16" s="40" t="s">
        <v>94</v>
      </c>
      <c r="O16" s="41">
        <f>IF(K16="","",RANK(K16,$K$10:$K$28)+COUNTIF($K$10:K16,K16)-1)</f>
        <v>4</v>
      </c>
    </row>
    <row r="17" spans="1:15" ht="30" customHeight="1" x14ac:dyDescent="0.35">
      <c r="A17" s="34" t="s">
        <v>95</v>
      </c>
      <c r="B17" s="35" t="s">
        <v>96</v>
      </c>
      <c r="C17" s="36" t="s">
        <v>55</v>
      </c>
      <c r="D17" s="37">
        <v>4</v>
      </c>
      <c r="E17" s="37">
        <v>2</v>
      </c>
      <c r="F17" s="37">
        <v>4</v>
      </c>
      <c r="G17" s="37">
        <v>2</v>
      </c>
      <c r="H17" s="37">
        <v>4</v>
      </c>
      <c r="I17" s="37">
        <v>5</v>
      </c>
      <c r="J17" s="37">
        <v>5</v>
      </c>
      <c r="K17" s="38">
        <f t="shared" si="0"/>
        <v>3.6</v>
      </c>
      <c r="L17" s="39">
        <f t="shared" si="1"/>
        <v>7</v>
      </c>
      <c r="M17" s="40" t="s">
        <v>97</v>
      </c>
      <c r="O17" s="41">
        <f>IF(K17="","",RANK(K17,$K$10:$K$28)+COUNTIF($K$10:K17,K17)-1)</f>
        <v>8</v>
      </c>
    </row>
    <row r="18" spans="1:15" ht="30" customHeight="1" x14ac:dyDescent="0.35">
      <c r="A18" s="34" t="s">
        <v>98</v>
      </c>
      <c r="B18" s="35" t="s">
        <v>99</v>
      </c>
      <c r="C18" s="36" t="s">
        <v>51</v>
      </c>
      <c r="D18" s="37">
        <v>2</v>
      </c>
      <c r="E18" s="37">
        <v>3</v>
      </c>
      <c r="F18" s="37">
        <v>4</v>
      </c>
      <c r="G18" s="37">
        <v>4</v>
      </c>
      <c r="H18" s="37">
        <v>3</v>
      </c>
      <c r="I18" s="37">
        <v>1</v>
      </c>
      <c r="J18" s="37">
        <v>2</v>
      </c>
      <c r="K18" s="38">
        <f t="shared" si="0"/>
        <v>2.8</v>
      </c>
      <c r="L18" s="39">
        <f t="shared" si="1"/>
        <v>13</v>
      </c>
      <c r="M18" s="40" t="s">
        <v>100</v>
      </c>
      <c r="O18" s="41">
        <f>IF(K18="","",RANK(K18,$K$10:$K$28)+COUNTIF($K$10:K18,K18)-1)</f>
        <v>13</v>
      </c>
    </row>
    <row r="19" spans="1:15" ht="30" customHeight="1" x14ac:dyDescent="0.35">
      <c r="A19" s="34" t="s">
        <v>101</v>
      </c>
      <c r="B19" s="35" t="s">
        <v>102</v>
      </c>
      <c r="C19" s="36" t="s">
        <v>59</v>
      </c>
      <c r="D19" s="37">
        <v>3</v>
      </c>
      <c r="E19" s="37">
        <v>5</v>
      </c>
      <c r="F19" s="37">
        <v>3</v>
      </c>
      <c r="G19" s="37">
        <v>5</v>
      </c>
      <c r="H19" s="37">
        <v>2</v>
      </c>
      <c r="I19" s="37">
        <v>1</v>
      </c>
      <c r="J19" s="37">
        <v>3</v>
      </c>
      <c r="K19" s="38">
        <f t="shared" si="0"/>
        <v>3.25</v>
      </c>
      <c r="L19" s="39">
        <f t="shared" si="1"/>
        <v>10</v>
      </c>
      <c r="M19" s="40" t="s">
        <v>103</v>
      </c>
      <c r="O19" s="41">
        <f>IF(K19="","",RANK(K19,$K$10:$K$28)+COUNTIF($K$10:K19,K19)-1)</f>
        <v>11</v>
      </c>
    </row>
    <row r="20" spans="1:15" ht="30" customHeight="1" x14ac:dyDescent="0.35">
      <c r="A20" s="34" t="s">
        <v>104</v>
      </c>
      <c r="B20" s="35" t="s">
        <v>105</v>
      </c>
      <c r="C20" s="36" t="s">
        <v>49</v>
      </c>
      <c r="D20" s="37">
        <v>2</v>
      </c>
      <c r="E20" s="37">
        <v>1</v>
      </c>
      <c r="F20" s="37">
        <v>3</v>
      </c>
      <c r="G20" s="37">
        <v>1</v>
      </c>
      <c r="H20" s="37">
        <v>2</v>
      </c>
      <c r="I20" s="37">
        <v>1</v>
      </c>
      <c r="J20" s="37">
        <v>2</v>
      </c>
      <c r="K20" s="38">
        <f t="shared" si="0"/>
        <v>1.75</v>
      </c>
      <c r="L20" s="39">
        <f t="shared" si="1"/>
        <v>14</v>
      </c>
      <c r="M20" s="40" t="s">
        <v>106</v>
      </c>
      <c r="O20" s="41">
        <f>IF(K20="","",RANK(K20,$K$10:$K$28)+COUNTIF($K$10:K20,K20)-1)</f>
        <v>14</v>
      </c>
    </row>
    <row r="21" spans="1:15" ht="30" customHeight="1" x14ac:dyDescent="0.35">
      <c r="A21" s="34" t="s">
        <v>107</v>
      </c>
      <c r="B21" s="35" t="s">
        <v>108</v>
      </c>
      <c r="C21" s="36" t="s">
        <v>53</v>
      </c>
      <c r="D21" s="37">
        <v>4</v>
      </c>
      <c r="E21" s="37">
        <v>4</v>
      </c>
      <c r="F21" s="37">
        <v>4</v>
      </c>
      <c r="G21" s="37">
        <v>4</v>
      </c>
      <c r="H21" s="37">
        <v>3</v>
      </c>
      <c r="I21" s="37">
        <v>4</v>
      </c>
      <c r="J21" s="37">
        <v>4</v>
      </c>
      <c r="K21" s="38">
        <f t="shared" si="0"/>
        <v>3.85</v>
      </c>
      <c r="L21" s="39">
        <f t="shared" si="1"/>
        <v>5</v>
      </c>
      <c r="M21" s="40" t="s">
        <v>109</v>
      </c>
      <c r="O21" s="41">
        <f>IF(K21="","",RANK(K21,$K$10:$K$28)+COUNTIF($K$10:K21,K21)-1)</f>
        <v>5</v>
      </c>
    </row>
    <row r="22" spans="1:15" ht="30" customHeight="1" x14ac:dyDescent="0.35">
      <c r="A22" s="34" t="s">
        <v>110</v>
      </c>
      <c r="B22" s="35" t="s">
        <v>111</v>
      </c>
      <c r="C22" s="36" t="s">
        <v>59</v>
      </c>
      <c r="D22" s="37">
        <v>5</v>
      </c>
      <c r="E22" s="37">
        <v>4</v>
      </c>
      <c r="F22" s="37">
        <v>5</v>
      </c>
      <c r="G22" s="37">
        <v>3</v>
      </c>
      <c r="H22" s="37">
        <v>3</v>
      </c>
      <c r="I22" s="37">
        <v>3</v>
      </c>
      <c r="J22" s="37">
        <v>5</v>
      </c>
      <c r="K22" s="38">
        <f t="shared" si="0"/>
        <v>4.05</v>
      </c>
      <c r="L22" s="39">
        <f t="shared" si="1"/>
        <v>1</v>
      </c>
      <c r="M22" s="40" t="s">
        <v>112</v>
      </c>
      <c r="O22" s="41">
        <f>IF(K22="","",RANK(K22,$K$10:$K$28)+COUNTIF($K$10:K22,K22)-1)</f>
        <v>2</v>
      </c>
    </row>
    <row r="23" spans="1:15" ht="30" customHeight="1" x14ac:dyDescent="0.35">
      <c r="A23" s="34" t="s">
        <v>113</v>
      </c>
      <c r="B23" s="35" t="s">
        <v>114</v>
      </c>
      <c r="C23" s="36" t="s">
        <v>57</v>
      </c>
      <c r="D23" s="37">
        <v>3</v>
      </c>
      <c r="E23" s="37">
        <v>5</v>
      </c>
      <c r="F23" s="37">
        <v>3</v>
      </c>
      <c r="G23" s="37">
        <v>5</v>
      </c>
      <c r="H23" s="37">
        <v>4</v>
      </c>
      <c r="I23" s="37">
        <v>1</v>
      </c>
      <c r="J23" s="37">
        <v>3</v>
      </c>
      <c r="K23" s="38">
        <f t="shared" si="0"/>
        <v>3.55</v>
      </c>
      <c r="L23" s="39">
        <f t="shared" si="1"/>
        <v>9</v>
      </c>
      <c r="M23" s="40" t="s">
        <v>115</v>
      </c>
      <c r="O23" s="41">
        <f>IF(K23="","",RANK(K23,$K$10:$K$28)+COUNTIF($K$10:K23,K23)-1)</f>
        <v>9</v>
      </c>
    </row>
    <row r="24" spans="1:15" ht="30" customHeight="1" x14ac:dyDescent="0.35">
      <c r="A24" s="34"/>
      <c r="B24" s="35"/>
      <c r="C24" s="36"/>
      <c r="D24" s="37"/>
      <c r="E24" s="37"/>
      <c r="F24" s="37"/>
      <c r="G24" s="37"/>
      <c r="H24" s="37"/>
      <c r="I24" s="37"/>
      <c r="J24" s="37"/>
      <c r="K24" s="38" t="str">
        <f t="shared" si="0"/>
        <v/>
      </c>
      <c r="L24" s="39" t="str">
        <f t="shared" si="1"/>
        <v/>
      </c>
      <c r="M24" s="40"/>
      <c r="O24" s="41" t="str">
        <f>IF(K24="","",RANK(K24,$K$10:$K$28)+COUNTIF($K$10:K24,K24)-1)</f>
        <v/>
      </c>
    </row>
    <row r="25" spans="1:15" ht="30" customHeight="1" x14ac:dyDescent="0.35">
      <c r="A25" s="34"/>
      <c r="B25" s="35"/>
      <c r="C25" s="36"/>
      <c r="D25" s="37"/>
      <c r="E25" s="37"/>
      <c r="F25" s="37"/>
      <c r="G25" s="37"/>
      <c r="H25" s="37"/>
      <c r="I25" s="37"/>
      <c r="J25" s="37"/>
      <c r="K25" s="38" t="str">
        <f t="shared" si="0"/>
        <v/>
      </c>
      <c r="L25" s="39" t="str">
        <f t="shared" si="1"/>
        <v/>
      </c>
      <c r="M25" s="40"/>
      <c r="O25" s="41" t="str">
        <f>IF(K25="","",RANK(K25,$K$10:$K$28)+COUNTIF($K$10:K25,K25)-1)</f>
        <v/>
      </c>
    </row>
    <row r="26" spans="1:15" ht="30" customHeight="1" x14ac:dyDescent="0.35">
      <c r="A26" s="34"/>
      <c r="B26" s="35"/>
      <c r="C26" s="36"/>
      <c r="D26" s="37"/>
      <c r="E26" s="37"/>
      <c r="F26" s="37"/>
      <c r="G26" s="37"/>
      <c r="H26" s="37"/>
      <c r="I26" s="37"/>
      <c r="J26" s="37"/>
      <c r="K26" s="38" t="str">
        <f t="shared" si="0"/>
        <v/>
      </c>
      <c r="L26" s="39" t="str">
        <f t="shared" si="1"/>
        <v/>
      </c>
      <c r="M26" s="40"/>
      <c r="O26" s="41" t="str">
        <f>IF(K26="","",RANK(K26,$K$10:$K$28)+COUNTIF($K$10:K26,K26)-1)</f>
        <v/>
      </c>
    </row>
    <row r="27" spans="1:15" ht="30" customHeight="1" x14ac:dyDescent="0.35">
      <c r="A27" s="34"/>
      <c r="B27" s="35"/>
      <c r="C27" s="36"/>
      <c r="D27" s="37"/>
      <c r="E27" s="37"/>
      <c r="F27" s="37"/>
      <c r="G27" s="37"/>
      <c r="H27" s="37"/>
      <c r="I27" s="37"/>
      <c r="J27" s="37"/>
      <c r="K27" s="38" t="str">
        <f t="shared" si="0"/>
        <v/>
      </c>
      <c r="L27" s="39" t="str">
        <f t="shared" si="1"/>
        <v/>
      </c>
      <c r="M27" s="40"/>
      <c r="O27" s="41" t="str">
        <f>IF(K27="","",RANK(K27,$K$10:$K$28)+COUNTIF($K$10:K27,K27)-1)</f>
        <v/>
      </c>
    </row>
    <row r="28" spans="1:15" ht="30" customHeight="1" x14ac:dyDescent="0.35">
      <c r="A28" s="34"/>
      <c r="B28" s="35"/>
      <c r="C28" s="36"/>
      <c r="D28" s="37"/>
      <c r="E28" s="37"/>
      <c r="F28" s="37"/>
      <c r="G28" s="37"/>
      <c r="H28" s="37"/>
      <c r="I28" s="37"/>
      <c r="J28" s="37"/>
      <c r="K28" s="38" t="str">
        <f t="shared" si="0"/>
        <v/>
      </c>
      <c r="L28" s="39" t="str">
        <f t="shared" si="1"/>
        <v/>
      </c>
      <c r="M28" s="40"/>
      <c r="O28" s="41" t="str">
        <f>IF(K28="","",RANK(K28,$K$10:$K$28)+COUNTIF($K$10:K28,K28)-1)</f>
        <v/>
      </c>
    </row>
    <row r="29" spans="1:15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5" x14ac:dyDescent="0.35">
      <c r="A30" s="5" t="s">
        <v>116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5" ht="15.75" customHeight="1" x14ac:dyDescent="0.35">
      <c r="A31" s="4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5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</sheetData>
  <mergeCells count="8">
    <mergeCell ref="A30:M30"/>
    <mergeCell ref="A31:M32"/>
    <mergeCell ref="A1:M1"/>
    <mergeCell ref="A2:M2"/>
    <mergeCell ref="A3:M3"/>
    <mergeCell ref="A5:M5"/>
    <mergeCell ref="A7:C7"/>
    <mergeCell ref="L7:M7"/>
  </mergeCells>
  <conditionalFormatting sqref="K10:K28">
    <cfRule type="colorScale" priority="2">
      <colorScale>
        <cfvo type="num" val="1"/>
        <cfvo type="num" val="3"/>
        <cfvo type="num" val="5"/>
        <color rgb="FF1A2540"/>
        <color rgb="FF2E4A4A"/>
        <color rgb="FFE8943A"/>
      </colorScale>
    </cfRule>
  </conditionalFormatting>
  <dataValidations count="2">
    <dataValidation type="whole" allowBlank="1" errorTitle="Out of range" error="Score must be a whole number 1–5." sqref="D10:J28" xr:uid="{00000000-0002-0000-0100-000000000000}">
      <formula1>1</formula1>
      <formula2>5</formula2>
    </dataValidation>
    <dataValidation type="list" allowBlank="1" sqref="C10:C28" xr:uid="{00000000-0002-0000-0100-000001000000}">
      <formula1>"User,Interaction,Environment,Value,Content,Operations"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22" customWidth="1"/>
    <col min="2" max="2" width="12" customWidth="1"/>
    <col min="3" max="3" width="16" customWidth="1"/>
    <col min="4" max="4" width="12" customWidth="1"/>
    <col min="5" max="5" width="8" customWidth="1"/>
  </cols>
  <sheetData>
    <row r="1" spans="1:5" ht="25.5" customHeight="1" x14ac:dyDescent="0.45">
      <c r="A1" s="3" t="s">
        <v>118</v>
      </c>
      <c r="B1" s="3"/>
      <c r="C1" s="3"/>
      <c r="D1" s="3"/>
      <c r="E1" s="3"/>
    </row>
    <row r="2" spans="1:5" x14ac:dyDescent="0.35">
      <c r="A2" s="9" t="s">
        <v>119</v>
      </c>
      <c r="B2" s="9"/>
      <c r="C2" s="9"/>
      <c r="D2" s="9"/>
      <c r="E2" s="9"/>
    </row>
    <row r="3" spans="1:5" x14ac:dyDescent="0.35">
      <c r="A3" s="12"/>
      <c r="B3" s="12"/>
      <c r="C3" s="12"/>
      <c r="D3" s="12"/>
      <c r="E3" s="12"/>
    </row>
    <row r="4" spans="1:5" ht="21.75" customHeight="1" x14ac:dyDescent="0.35">
      <c r="A4" s="2" t="s">
        <v>120</v>
      </c>
      <c r="B4" s="2"/>
      <c r="C4" s="2"/>
      <c r="D4" s="2"/>
      <c r="E4" s="2"/>
    </row>
    <row r="5" spans="1:5" x14ac:dyDescent="0.35">
      <c r="A5" s="42" t="s">
        <v>121</v>
      </c>
      <c r="B5" s="43" t="s">
        <v>122</v>
      </c>
      <c r="C5" s="43" t="s">
        <v>123</v>
      </c>
      <c r="D5" s="42" t="s">
        <v>71</v>
      </c>
      <c r="E5" s="12"/>
    </row>
    <row r="6" spans="1:5" ht="15.5" x14ac:dyDescent="0.35">
      <c r="A6" s="34">
        <v>1</v>
      </c>
      <c r="B6" s="44" t="str">
        <f>IFERROR(INDEX(Prioritization!$B$10:$B$28,MATCH(1,Prioritization!$O$10:$O$28,0)),"")</f>
        <v>Authoritative Game Server</v>
      </c>
      <c r="C6" s="45" t="str">
        <f>IFERROR(INDEX(Prioritization!$C$10:$C$28,MATCH(1,Prioritization!$O$10:$O$28,0)),"")</f>
        <v>Environment</v>
      </c>
      <c r="D6" s="46">
        <f>IFERROR(INDEX(Prioritization!$K$10:$K$28,MATCH(1,Prioritization!$O$10:$O$28,0)),"")</f>
        <v>4.05</v>
      </c>
      <c r="E6" s="12"/>
    </row>
    <row r="7" spans="1:5" ht="15.5" x14ac:dyDescent="0.35">
      <c r="A7" s="34">
        <v>2</v>
      </c>
      <c r="B7" s="44" t="str">
        <f>IFERROR(INDEX(Prioritization!$B$10:$B$28,MATCH(2,Prioritization!$O$10:$O$28,0)),"")</f>
        <v>Authentication / Login</v>
      </c>
      <c r="C7" s="45" t="str">
        <f>IFERROR(INDEX(Prioritization!$C$10:$C$28,MATCH(2,Prioritization!$O$10:$O$28,0)),"")</f>
        <v>Operations</v>
      </c>
      <c r="D7" s="46">
        <f>IFERROR(INDEX(Prioritization!$K$10:$K$28,MATCH(2,Prioritization!$O$10:$O$28,0)),"")</f>
        <v>4.05</v>
      </c>
      <c r="E7" s="12"/>
    </row>
    <row r="8" spans="1:5" ht="15.5" x14ac:dyDescent="0.35">
      <c r="A8" s="34">
        <v>3</v>
      </c>
      <c r="B8" s="44" t="str">
        <f>IFERROR(INDEX(Prioritization!$B$10:$B$28,MATCH(3,Prioritization!$O$10:$O$28,0)),"")</f>
        <v>Player Identity / Profile</v>
      </c>
      <c r="C8" s="45" t="str">
        <f>IFERROR(INDEX(Prioritization!$C$10:$C$28,MATCH(3,Prioritization!$O$10:$O$28,0)),"")</f>
        <v>User</v>
      </c>
      <c r="D8" s="46">
        <f>IFERROR(INDEX(Prioritization!$K$10:$K$28,MATCH(3,Prioritization!$O$10:$O$28,0)),"")</f>
        <v>3.95</v>
      </c>
      <c r="E8" s="12"/>
    </row>
    <row r="9" spans="1:5" ht="15.5" x14ac:dyDescent="0.35">
      <c r="A9" s="34">
        <v>4</v>
      </c>
      <c r="B9" s="44" t="str">
        <f>IFERROR(INDEX(Prioritization!$B$10:$B$28,MATCH(4,Prioritization!$O$10:$O$28,0)),"")</f>
        <v>In-Game Store / Payments</v>
      </c>
      <c r="C9" s="45" t="str">
        <f>IFERROR(INDEX(Prioritization!$C$10:$C$28,MATCH(4,Prioritization!$O$10:$O$28,0)),"")</f>
        <v>Value</v>
      </c>
      <c r="D9" s="46">
        <f>IFERROR(INDEX(Prioritization!$K$10:$K$28,MATCH(4,Prioritization!$O$10:$O$28,0)),"")</f>
        <v>3.95</v>
      </c>
      <c r="E9" s="12"/>
    </row>
    <row r="10" spans="1:5" ht="15.5" x14ac:dyDescent="0.35">
      <c r="A10" s="34">
        <v>5</v>
      </c>
      <c r="B10" s="44" t="str">
        <f>IFERROR(INDEX(Prioritization!$B$10:$B$28,MATCH(5,Prioritization!$O$10:$O$28,0)),"")</f>
        <v>RNG / Loot-Box System</v>
      </c>
      <c r="C10" s="45" t="str">
        <f>IFERROR(INDEX(Prioritization!$C$10:$C$28,MATCH(5,Prioritization!$O$10:$O$28,0)),"")</f>
        <v>Environment</v>
      </c>
      <c r="D10" s="46">
        <f>IFERROR(INDEX(Prioritization!$K$10:$K$28,MATCH(5,Prioritization!$O$10:$O$28,0)),"")</f>
        <v>3.85</v>
      </c>
      <c r="E10" s="12"/>
    </row>
    <row r="11" spans="1:5" ht="15.5" x14ac:dyDescent="0.35">
      <c r="A11" s="34">
        <v>6</v>
      </c>
      <c r="B11" s="44" t="str">
        <f>IFERROR(INDEX(Prioritization!$B$10:$B$28,MATCH(6,Prioritization!$O$10:$O$28,0)),"")</f>
        <v>Trading / Marketplace</v>
      </c>
      <c r="C11" s="45" t="str">
        <f>IFERROR(INDEX(Prioritization!$C$10:$C$28,MATCH(6,Prioritization!$O$10:$O$28,0)),"")</f>
        <v>Value</v>
      </c>
      <c r="D11" s="46">
        <f>IFERROR(INDEX(Prioritization!$K$10:$K$28,MATCH(6,Prioritization!$O$10:$O$28,0)),"")</f>
        <v>3.8</v>
      </c>
      <c r="E11" s="12"/>
    </row>
    <row r="12" spans="1:5" ht="15.5" x14ac:dyDescent="0.35">
      <c r="A12" s="34">
        <v>7</v>
      </c>
      <c r="B12" s="44" t="str">
        <f>IFERROR(INDEX(Prioritization!$B$10:$B$28,MATCH(7,Prioritization!$O$10:$O$28,0)),"")</f>
        <v>In-Game Text Chat</v>
      </c>
      <c r="C12" s="45" t="str">
        <f>IFERROR(INDEX(Prioritization!$C$10:$C$28,MATCH(7,Prioritization!$O$10:$O$28,0)),"")</f>
        <v>Interaction</v>
      </c>
      <c r="D12" s="46">
        <f>IFERROR(INDEX(Prioritization!$K$10:$K$28,MATCH(7,Prioritization!$O$10:$O$28,0)),"")</f>
        <v>3.6</v>
      </c>
      <c r="E12" s="12"/>
    </row>
    <row r="13" spans="1:5" ht="15.5" x14ac:dyDescent="0.35">
      <c r="A13" s="34">
        <v>8</v>
      </c>
      <c r="B13" s="44" t="str">
        <f>IFERROR(INDEX(Prioritization!$B$10:$B$28,MATCH(8,Prioritization!$O$10:$O$28,0)),"")</f>
        <v>Inventory / Economy Ledger</v>
      </c>
      <c r="C13" s="45" t="str">
        <f>IFERROR(INDEX(Prioritization!$C$10:$C$28,MATCH(8,Prioritization!$O$10:$O$28,0)),"")</f>
        <v>Value</v>
      </c>
      <c r="D13" s="46">
        <f>IFERROR(INDEX(Prioritization!$K$10:$K$28,MATCH(8,Prioritization!$O$10:$O$28,0)),"")</f>
        <v>3.6</v>
      </c>
      <c r="E13" s="12"/>
    </row>
    <row r="14" spans="1:5" ht="15.5" x14ac:dyDescent="0.35">
      <c r="A14" s="34">
        <v>9</v>
      </c>
      <c r="B14" s="44" t="str">
        <f>IFERROR(INDEX(Prioritization!$B$10:$B$28,MATCH(9,Prioritization!$O$10:$O$28,0)),"")</f>
        <v>User-Generated Content / Uploads</v>
      </c>
      <c r="C14" s="45" t="str">
        <f>IFERROR(INDEX(Prioritization!$C$10:$C$28,MATCH(9,Prioritization!$O$10:$O$28,0)),"")</f>
        <v>Content</v>
      </c>
      <c r="D14" s="46">
        <f>IFERROR(INDEX(Prioritization!$K$10:$K$28,MATCH(9,Prioritization!$O$10:$O$28,0)),"")</f>
        <v>3.55</v>
      </c>
      <c r="E14" s="12"/>
    </row>
    <row r="15" spans="1:5" ht="15.5" x14ac:dyDescent="0.35">
      <c r="A15" s="34">
        <v>10</v>
      </c>
      <c r="B15" s="44" t="str">
        <f>IFERROR(INDEX(Prioritization!$B$10:$B$28,MATCH(10,Prioritization!$O$10:$O$28,0)),"")</f>
        <v>Matchmaking Service</v>
      </c>
      <c r="C15" s="45" t="str">
        <f>IFERROR(INDEX(Prioritization!$C$10:$C$28,MATCH(10,Prioritization!$O$10:$O$28,0)),"")</f>
        <v>Environment</v>
      </c>
      <c r="D15" s="46">
        <f>IFERROR(INDEX(Prioritization!$K$10:$K$28,MATCH(10,Prioritization!$O$10:$O$28,0)),"")</f>
        <v>3.25</v>
      </c>
      <c r="E15" s="12"/>
    </row>
    <row r="16" spans="1:5" ht="15.5" x14ac:dyDescent="0.35">
      <c r="A16" s="34">
        <v>11</v>
      </c>
      <c r="B16" s="44" t="str">
        <f>IFERROR(INDEX(Prioritization!$B$10:$B$28,MATCH(11,Prioritization!$O$10:$O$28,0)),"")</f>
        <v>Reporting &amp; Moderation</v>
      </c>
      <c r="C16" s="45" t="str">
        <f>IFERROR(INDEX(Prioritization!$C$10:$C$28,MATCH(11,Prioritization!$O$10:$O$28,0)),"")</f>
        <v>Operations</v>
      </c>
      <c r="D16" s="46">
        <f>IFERROR(INDEX(Prioritization!$K$10:$K$28,MATCH(11,Prioritization!$O$10:$O$28,0)),"")</f>
        <v>3.25</v>
      </c>
      <c r="E16" s="12"/>
    </row>
    <row r="17" spans="1:5" ht="15.5" x14ac:dyDescent="0.35">
      <c r="A17" s="34">
        <v>12</v>
      </c>
      <c r="B17" s="44" t="str">
        <f>IFERROR(INDEX(Prioritization!$B$10:$B$28,MATCH(12,Prioritization!$O$10:$O$28,0)),"")</f>
        <v>Voice Chat</v>
      </c>
      <c r="C17" s="45" t="str">
        <f>IFERROR(INDEX(Prioritization!$C$10:$C$28,MATCH(12,Prioritization!$O$10:$O$28,0)),"")</f>
        <v>Interaction</v>
      </c>
      <c r="D17" s="46">
        <f>IFERROR(INDEX(Prioritization!$K$10:$K$28,MATCH(12,Prioritization!$O$10:$O$28,0)),"")</f>
        <v>3.15</v>
      </c>
      <c r="E17" s="12"/>
    </row>
    <row r="18" spans="1:5" ht="15.5" x14ac:dyDescent="0.35">
      <c r="A18" s="34">
        <v>13</v>
      </c>
      <c r="B18" s="44" t="str">
        <f>IFERROR(INDEX(Prioritization!$B$10:$B$28,MATCH(13,Prioritization!$O$10:$O$28,0)),"")</f>
        <v>Friends / Social Graph</v>
      </c>
      <c r="C18" s="45" t="str">
        <f>IFERROR(INDEX(Prioritization!$C$10:$C$28,MATCH(13,Prioritization!$O$10:$O$28,0)),"")</f>
        <v>Interaction</v>
      </c>
      <c r="D18" s="46">
        <f>IFERROR(INDEX(Prioritization!$K$10:$K$28,MATCH(13,Prioritization!$O$10:$O$28,0)),"")</f>
        <v>2.8</v>
      </c>
      <c r="E18" s="12"/>
    </row>
    <row r="19" spans="1:5" ht="15.5" x14ac:dyDescent="0.35">
      <c r="A19" s="34">
        <v>14</v>
      </c>
      <c r="B19" s="44" t="str">
        <f>IFERROR(INDEX(Prioritization!$B$10:$B$28,MATCH(14,Prioritization!$O$10:$O$28,0)),"")</f>
        <v>Leaderboards / Ranking</v>
      </c>
      <c r="C19" s="45" t="str">
        <f>IFERROR(INDEX(Prioritization!$C$10:$C$28,MATCH(14,Prioritization!$O$10:$O$28,0)),"")</f>
        <v>User</v>
      </c>
      <c r="D19" s="46">
        <f>IFERROR(INDEX(Prioritization!$K$10:$K$28,MATCH(14,Prioritization!$O$10:$O$28,0)),"")</f>
        <v>1.75</v>
      </c>
      <c r="E19" s="12"/>
    </row>
    <row r="20" spans="1:5" x14ac:dyDescent="0.35">
      <c r="A20" s="12"/>
      <c r="B20" s="12"/>
      <c r="C20" s="12"/>
      <c r="D20" s="12"/>
      <c r="E20" s="12"/>
    </row>
    <row r="21" spans="1:5" ht="21.75" customHeight="1" x14ac:dyDescent="0.35">
      <c r="A21" s="2" t="s">
        <v>124</v>
      </c>
      <c r="B21" s="2"/>
      <c r="C21" s="2"/>
      <c r="D21" s="2"/>
      <c r="E21" s="2"/>
    </row>
    <row r="22" spans="1:5" x14ac:dyDescent="0.35">
      <c r="A22" s="43" t="s">
        <v>70</v>
      </c>
      <c r="B22" s="42" t="s">
        <v>125</v>
      </c>
      <c r="C22" s="42" t="s">
        <v>126</v>
      </c>
      <c r="D22" s="12"/>
      <c r="E22" s="12"/>
    </row>
    <row r="23" spans="1:5" x14ac:dyDescent="0.35">
      <c r="A23" s="17" t="s">
        <v>49</v>
      </c>
      <c r="B23" s="47">
        <f>COUNTIF(Prioritization!$C$10:$C$28,A23)</f>
        <v>2</v>
      </c>
      <c r="C23" s="48">
        <f>IFERROR(AVERAGEIFS(Prioritization!$K$10:$K$28,Prioritization!$C$10:$C$28,A23),"")</f>
        <v>2.85</v>
      </c>
      <c r="D23" s="12"/>
      <c r="E23" s="12"/>
    </row>
    <row r="24" spans="1:5" x14ac:dyDescent="0.35">
      <c r="A24" s="17" t="s">
        <v>51</v>
      </c>
      <c r="B24" s="47">
        <f>COUNTIF(Prioritization!$C$10:$C$28,A24)</f>
        <v>3</v>
      </c>
      <c r="C24" s="48">
        <f>IFERROR(AVERAGEIFS(Prioritization!$K$10:$K$28,Prioritization!$C$10:$C$28,A24),"")</f>
        <v>3.1833333333333336</v>
      </c>
      <c r="D24" s="12"/>
      <c r="E24" s="12"/>
    </row>
    <row r="25" spans="1:5" x14ac:dyDescent="0.35">
      <c r="A25" s="17" t="s">
        <v>53</v>
      </c>
      <c r="B25" s="47">
        <f>COUNTIF(Prioritization!$C$10:$C$28,A25)</f>
        <v>3</v>
      </c>
      <c r="C25" s="48">
        <f>IFERROR(AVERAGEIFS(Prioritization!$K$10:$K$28,Prioritization!$C$10:$C$28,A25),"")</f>
        <v>3.7166666666666668</v>
      </c>
      <c r="D25" s="12"/>
      <c r="E25" s="12"/>
    </row>
    <row r="26" spans="1:5" x14ac:dyDescent="0.35">
      <c r="A26" s="17" t="s">
        <v>55</v>
      </c>
      <c r="B26" s="47">
        <f>COUNTIF(Prioritization!$C$10:$C$28,A26)</f>
        <v>3</v>
      </c>
      <c r="C26" s="48">
        <f>IFERROR(AVERAGEIFS(Prioritization!$K$10:$K$28,Prioritization!$C$10:$C$28,A26),"")</f>
        <v>3.7833333333333332</v>
      </c>
      <c r="D26" s="12"/>
      <c r="E26" s="12"/>
    </row>
    <row r="27" spans="1:5" x14ac:dyDescent="0.35">
      <c r="A27" s="17" t="s">
        <v>57</v>
      </c>
      <c r="B27" s="47">
        <f>COUNTIF(Prioritization!$C$10:$C$28,A27)</f>
        <v>1</v>
      </c>
      <c r="C27" s="48">
        <f>IFERROR(AVERAGEIFS(Prioritization!$K$10:$K$28,Prioritization!$C$10:$C$28,A27),"")</f>
        <v>3.55</v>
      </c>
      <c r="D27" s="12"/>
      <c r="E27" s="12"/>
    </row>
    <row r="28" spans="1:5" x14ac:dyDescent="0.35">
      <c r="A28" s="17" t="s">
        <v>59</v>
      </c>
      <c r="B28" s="47">
        <f>COUNTIF(Prioritization!$C$10:$C$28,A28)</f>
        <v>2</v>
      </c>
      <c r="C28" s="48">
        <f>IFERROR(AVERAGEIFS(Prioritization!$K$10:$K$28,Prioritization!$C$10:$C$28,A28),"")</f>
        <v>3.65</v>
      </c>
      <c r="D28" s="12"/>
      <c r="E28" s="12"/>
    </row>
    <row r="29" spans="1:5" x14ac:dyDescent="0.35">
      <c r="A29" s="12"/>
      <c r="B29" s="12"/>
      <c r="C29" s="12"/>
      <c r="D29" s="12"/>
      <c r="E29" s="12"/>
    </row>
    <row r="30" spans="1:5" x14ac:dyDescent="0.35">
      <c r="A30" s="12"/>
      <c r="B30" s="12"/>
      <c r="C30" s="12"/>
      <c r="D30" s="12"/>
      <c r="E30" s="12"/>
    </row>
    <row r="31" spans="1:5" x14ac:dyDescent="0.35">
      <c r="A31" s="12"/>
      <c r="B31" s="12"/>
      <c r="C31" s="12"/>
      <c r="D31" s="12"/>
      <c r="E31" s="12"/>
    </row>
    <row r="32" spans="1:5" x14ac:dyDescent="0.35">
      <c r="A32" s="12"/>
      <c r="B32" s="12"/>
      <c r="C32" s="12"/>
      <c r="D32" s="12"/>
      <c r="E32" s="12"/>
    </row>
    <row r="33" spans="1:5" x14ac:dyDescent="0.35">
      <c r="A33" s="12"/>
      <c r="B33" s="12"/>
      <c r="C33" s="12"/>
      <c r="D33" s="12"/>
      <c r="E33" s="12"/>
    </row>
    <row r="34" spans="1:5" x14ac:dyDescent="0.35">
      <c r="A34" s="12"/>
      <c r="B34" s="12"/>
      <c r="C34" s="12"/>
      <c r="D34" s="12"/>
      <c r="E34" s="12"/>
    </row>
    <row r="35" spans="1:5" x14ac:dyDescent="0.35">
      <c r="A35" s="12"/>
      <c r="B35" s="12"/>
      <c r="C35" s="12"/>
      <c r="D35" s="12"/>
      <c r="E35" s="12"/>
    </row>
    <row r="36" spans="1:5" x14ac:dyDescent="0.35">
      <c r="A36" s="12"/>
      <c r="B36" s="12"/>
      <c r="C36" s="12"/>
      <c r="D36" s="12"/>
      <c r="E36" s="12"/>
    </row>
    <row r="37" spans="1:5" x14ac:dyDescent="0.35">
      <c r="A37" s="12"/>
      <c r="B37" s="12"/>
      <c r="C37" s="12"/>
      <c r="D37" s="12"/>
      <c r="E37" s="12"/>
    </row>
    <row r="38" spans="1:5" x14ac:dyDescent="0.35">
      <c r="A38" s="12"/>
      <c r="B38" s="12"/>
      <c r="C38" s="12"/>
      <c r="D38" s="12"/>
      <c r="E38" s="12"/>
    </row>
    <row r="39" spans="1:5" x14ac:dyDescent="0.35">
      <c r="A39" s="12"/>
      <c r="B39" s="12"/>
      <c r="C39" s="12"/>
      <c r="D39" s="12"/>
      <c r="E39" s="12"/>
    </row>
  </sheetData>
  <mergeCells count="4">
    <mergeCell ref="A1:E1"/>
    <mergeCell ref="A2:E2"/>
    <mergeCell ref="A4:E4"/>
    <mergeCell ref="A21:E21"/>
  </mergeCells>
  <conditionalFormatting sqref="D6:D19">
    <cfRule type="colorScale" priority="2">
      <colorScale>
        <cfvo type="num" val="1"/>
        <cfvo type="num" val="3"/>
        <cfvo type="num" val="5"/>
        <color rgb="FF1A2540"/>
        <color rgb="FF2E4A4A"/>
        <color rgb="FFE8943A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Prioritization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Santhanaraghavan, Harikrishnan (Allianz Technology)</cp:lastModifiedBy>
  <cp:revision>0</cp:revision>
  <dcterms:created xsi:type="dcterms:W3CDTF">2026-06-16T08:17:19Z</dcterms:created>
  <dcterms:modified xsi:type="dcterms:W3CDTF">2026-06-16T10:17:56Z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2026-06-16T09:09:29Z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cab0c56d-92eb-4fce-9ed8-2baf7b1d685c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